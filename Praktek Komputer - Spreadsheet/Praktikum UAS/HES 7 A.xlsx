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 Labs\OpenLearning\Praktek Komputer - Spreadsheet\Praktikum UAS\"/>
    </mc:Choice>
  </mc:AlternateContent>
  <xr:revisionPtr revIDLastSave="0" documentId="13_ncr:1_{57A11D0B-0AF6-4799-8434-75D0AB851A97}" xr6:coauthVersionLast="47" xr6:coauthVersionMax="47" xr10:uidLastSave="{00000000-0000-0000-0000-000000000000}"/>
  <bookViews>
    <workbookView xWindow="-108" yWindow="-108" windowWidth="23256" windowHeight="13176" xr2:uid="{E06C27A2-6597-4190-B4EC-559877CB560E}"/>
  </bookViews>
  <sheets>
    <sheet name="Deskripsi" sheetId="1" r:id="rId1"/>
    <sheet name="Laporan Penjualan" sheetId="2" r:id="rId2"/>
    <sheet name="Tabel Referensi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C3" i="2"/>
  <c r="C2" i="2"/>
  <c r="E4" i="1"/>
  <c r="E3" i="1"/>
</calcChain>
</file>

<file path=xl/sharedStrings.xml><?xml version="1.0" encoding="utf-8"?>
<sst xmlns="http://schemas.openxmlformats.org/spreadsheetml/2006/main" count="143" uniqueCount="107">
  <si>
    <r>
      <t xml:space="preserve">Sebuah </t>
    </r>
    <r>
      <rPr>
        <b/>
        <sz val="14"/>
        <color theme="1"/>
        <rFont val="Calibri"/>
        <family val="2"/>
        <scheme val="minor"/>
      </rPr>
      <t>Koperasi Syariah</t>
    </r>
    <r>
      <rPr>
        <sz val="14"/>
        <color theme="1"/>
        <rFont val="Calibri"/>
        <family val="2"/>
        <scheme val="minor"/>
      </rPr>
      <t xml:space="preserve"> memiliki beberapa </t>
    </r>
    <r>
      <rPr>
        <b/>
        <sz val="14"/>
        <color theme="1"/>
        <rFont val="Calibri"/>
        <family val="2"/>
        <scheme val="minor"/>
      </rPr>
      <t>cabang penjualan barang</t>
    </r>
    <r>
      <rPr>
        <sz val="14"/>
        <color theme="1"/>
        <rFont val="Calibri"/>
        <family val="2"/>
        <scheme val="minor"/>
      </rPr>
      <t>.</t>
    </r>
  </si>
  <si>
    <r>
      <t xml:space="preserve">Setiap transaksi penjualan dicatat berdasarkan </t>
    </r>
    <r>
      <rPr>
        <b/>
        <sz val="14"/>
        <color theme="1"/>
        <rFont val="Calibri"/>
        <family val="2"/>
        <scheme val="minor"/>
      </rPr>
      <t>kode barang</t>
    </r>
    <r>
      <rPr>
        <sz val="14"/>
        <color theme="1"/>
        <rFont val="Calibri"/>
        <family val="2"/>
        <scheme val="minor"/>
      </rPr>
      <t xml:space="preserve"> dan </t>
    </r>
    <r>
      <rPr>
        <b/>
        <sz val="14"/>
        <color theme="1"/>
        <rFont val="Calibri"/>
        <family val="2"/>
        <scheme val="minor"/>
      </rPr>
      <t>kode sales</t>
    </r>
    <r>
      <rPr>
        <sz val="14"/>
        <color theme="1"/>
        <rFont val="Calibri"/>
        <family val="2"/>
        <scheme val="minor"/>
      </rPr>
      <t>.</t>
    </r>
  </si>
  <si>
    <r>
      <t xml:space="preserve">Manajemen koperasi ingin menyusun </t>
    </r>
    <r>
      <rPr>
        <b/>
        <sz val="14"/>
        <color theme="1"/>
        <rFont val="Calibri"/>
        <family val="2"/>
        <scheme val="minor"/>
      </rPr>
      <t>Laporan Penjualan Barang</t>
    </r>
    <r>
      <rPr>
        <sz val="14"/>
        <color theme="1"/>
        <rFont val="Calibri"/>
        <family val="2"/>
        <scheme val="minor"/>
      </rPr>
      <t xml:space="preserve"> sekaligus menghitung </t>
    </r>
    <r>
      <rPr>
        <b/>
        <sz val="14"/>
        <color theme="1"/>
        <rFont val="Calibri"/>
        <family val="2"/>
        <scheme val="minor"/>
      </rPr>
      <t>Insentif, Bonus, dan Tunjangan Sales</t>
    </r>
    <r>
      <rPr>
        <sz val="14"/>
        <color theme="1"/>
        <rFont val="Calibri"/>
        <family val="2"/>
        <scheme val="minor"/>
      </rPr>
      <t xml:space="preserve"> menggunakan Microsoft Excel.</t>
    </r>
  </si>
  <si>
    <t>No</t>
  </si>
  <si>
    <t>Jenis barang</t>
  </si>
  <si>
    <t>Harga barang</t>
  </si>
  <si>
    <t>Kode Sales</t>
  </si>
  <si>
    <t>Nama Sales</t>
  </si>
  <si>
    <t>Status</t>
  </si>
  <si>
    <t>Insentif Penjualan</t>
  </si>
  <si>
    <t>Bonus</t>
  </si>
  <si>
    <t xml:space="preserve">Tunjangan </t>
  </si>
  <si>
    <t>Total</t>
  </si>
  <si>
    <t>Pekerjaan</t>
  </si>
  <si>
    <t>Perkawinan</t>
  </si>
  <si>
    <t>B001</t>
  </si>
  <si>
    <t>B002</t>
  </si>
  <si>
    <t>B003</t>
  </si>
  <si>
    <t>B004</t>
  </si>
  <si>
    <t>B005</t>
  </si>
  <si>
    <t>B006</t>
  </si>
  <si>
    <t>B009</t>
  </si>
  <si>
    <t>B010</t>
  </si>
  <si>
    <t>B011</t>
  </si>
  <si>
    <t>B012</t>
  </si>
  <si>
    <t>B015</t>
  </si>
  <si>
    <t>B016</t>
  </si>
  <si>
    <t>B013</t>
  </si>
  <si>
    <t>Total Nilai</t>
  </si>
  <si>
    <t>Nilai Tertinggi</t>
  </si>
  <si>
    <t>Nilai Terendah</t>
  </si>
  <si>
    <t>Nilai Rata-rata</t>
  </si>
  <si>
    <t>Jumlah Data</t>
  </si>
  <si>
    <t>Total Gaji (Rp)</t>
  </si>
  <si>
    <t>AHMAD</t>
  </si>
  <si>
    <t>RIZKI</t>
  </si>
  <si>
    <t>FAHMI</t>
  </si>
  <si>
    <t>HAFIZ</t>
  </si>
  <si>
    <t>NABIL</t>
  </si>
  <si>
    <t>REKAP TOTAL GAJI SALES KOPERASI SYARIAH</t>
  </si>
  <si>
    <t>NIM Anda</t>
  </si>
  <si>
    <t>Nama Lengkap Anda</t>
  </si>
  <si>
    <t>Nama Pegawai</t>
  </si>
  <si>
    <t>Status Pekerjaan</t>
  </si>
  <si>
    <t>Status Perkawinan</t>
  </si>
  <si>
    <t>Tetap</t>
  </si>
  <si>
    <t>Kawin</t>
  </si>
  <si>
    <t>Tidak Kawin</t>
  </si>
  <si>
    <t>Honor</t>
  </si>
  <si>
    <t>TABEL MASTER BARANG KOPERASI SYARIAH</t>
  </si>
  <si>
    <t>Kode Barang</t>
  </si>
  <si>
    <t>Kitab Fiqh Muamalah</t>
  </si>
  <si>
    <t>Buku Akuntansi Syariah</t>
  </si>
  <si>
    <t>B007</t>
  </si>
  <si>
    <t>B008</t>
  </si>
  <si>
    <t>Laptop Administrasi Syariah</t>
  </si>
  <si>
    <t>B014</t>
  </si>
  <si>
    <t>Rak Kitab Perpustakaan</t>
  </si>
  <si>
    <t>TABEL DATA PEGAWAI PENJUALAN</t>
  </si>
  <si>
    <t>Nama Barang</t>
  </si>
  <si>
    <t>Harga Satuan (Rp)</t>
  </si>
  <si>
    <t>Al-Qur’an Terjemah Standar</t>
  </si>
  <si>
    <t>Buku Hukum Ekonomi Islam</t>
  </si>
  <si>
    <t>Buku Perbankan Syariah</t>
  </si>
  <si>
    <t>Meja Belajar Kayu</t>
  </si>
  <si>
    <t>Kursi Belajar Ergonomis</t>
  </si>
  <si>
    <t>Lemari Arsip Dokumen Wakaf</t>
  </si>
  <si>
    <t>Printer Multifungsi</t>
  </si>
  <si>
    <t>ATK Paket Administrasi</t>
  </si>
  <si>
    <t>Proyektor Presentasi Kajian</t>
  </si>
  <si>
    <t>Whiteboard Magnetik</t>
  </si>
  <si>
    <t>Sound System Ruang Kajian</t>
  </si>
  <si>
    <r>
      <t xml:space="preserve">Mahasiswa diminta untuk </t>
    </r>
    <r>
      <rPr>
        <b/>
        <sz val="14"/>
        <color theme="1"/>
        <rFont val="Calibri"/>
        <family val="2"/>
        <scheme val="minor"/>
      </rPr>
      <t>mengisi tabel laporan penjualan</t>
    </r>
    <r>
      <rPr>
        <sz val="14"/>
        <color theme="1"/>
        <rFont val="Calibri"/>
        <family val="2"/>
        <scheme val="minor"/>
      </rPr>
      <t xml:space="preserve"> berdasarkan </t>
    </r>
    <r>
      <rPr>
        <b/>
        <sz val="14"/>
        <color theme="1"/>
        <rFont val="Calibri"/>
        <family val="2"/>
        <scheme val="minor"/>
      </rPr>
      <t>data master (Tabel Referensi)</t>
    </r>
    <r>
      <rPr>
        <sz val="14"/>
        <color theme="1"/>
        <rFont val="Calibri"/>
        <family val="2"/>
        <scheme val="minor"/>
      </rPr>
      <t xml:space="preserve"> dan </t>
    </r>
    <r>
      <rPr>
        <b/>
        <sz val="14"/>
        <color theme="1"/>
        <rFont val="Calibri"/>
        <family val="2"/>
        <scheme val="minor"/>
      </rPr>
      <t>ketentuan perhitungan yang telah ditetapkan</t>
    </r>
    <r>
      <rPr>
        <sz val="14"/>
        <color theme="1"/>
        <rFont val="Calibri"/>
        <family val="2"/>
        <scheme val="minor"/>
      </rPr>
      <t>.</t>
    </r>
  </si>
  <si>
    <t>NAMA ANDA</t>
  </si>
  <si>
    <t>NIM ANDA</t>
  </si>
  <si>
    <t>NIM</t>
  </si>
  <si>
    <t>NAMA</t>
  </si>
  <si>
    <t>JURUSAN</t>
  </si>
  <si>
    <t>Hukum Ekonomi Syariah</t>
  </si>
  <si>
    <t>Tunjangan :</t>
  </si>
  <si>
    <t xml:space="preserve">jenis barang, harga barang, nama sales, </t>
  </si>
  <si>
    <t>silahkan isi menggunakan rumus yang sudah di pelajari</t>
  </si>
  <si>
    <t>PETUNJUK / KETENTUAN</t>
  </si>
  <si>
    <t>diisi menggunakan data yang ada di sheet Tabel Referensi</t>
  </si>
  <si>
    <r>
      <t>Kolom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rgb="FF7030A0"/>
        <rFont val="Calibri"/>
        <family val="2"/>
        <scheme val="minor"/>
      </rPr>
      <t>Berwarna Ungu</t>
    </r>
    <r>
      <rPr>
        <sz val="12"/>
        <color theme="1"/>
        <rFont val="Calibri"/>
        <family val="2"/>
        <scheme val="minor"/>
      </rPr>
      <t xml:space="preserve"> silahkan isi dengan nim masing-masing</t>
    </r>
  </si>
  <si>
    <r>
      <t xml:space="preserve">Jika kode barang dua angka dari kanan = </t>
    </r>
    <r>
      <rPr>
        <b/>
        <sz val="12"/>
        <color theme="1"/>
        <rFont val="Calibri"/>
        <family val="2"/>
        <scheme val="minor"/>
      </rPr>
      <t>05 maka 15% dari Harga barang</t>
    </r>
  </si>
  <si>
    <r>
      <t>Jika kode barang dua angka dari kanan =</t>
    </r>
    <r>
      <rPr>
        <b/>
        <sz val="12"/>
        <color theme="1"/>
        <rFont val="Calibri"/>
        <family val="2"/>
        <scheme val="minor"/>
      </rPr>
      <t xml:space="preserve"> 01 maka 10% dari Harga barang</t>
    </r>
  </si>
  <si>
    <r>
      <t>Jika kode barang dua angka dari kanan =</t>
    </r>
    <r>
      <rPr>
        <b/>
        <sz val="12"/>
        <color theme="1"/>
        <rFont val="Calibri"/>
        <family val="2"/>
        <scheme val="minor"/>
      </rPr>
      <t xml:space="preserve"> 07 maka 7% dari Harga barang</t>
    </r>
  </si>
  <si>
    <r>
      <t xml:space="preserve">selain itu maka </t>
    </r>
    <r>
      <rPr>
        <b/>
        <sz val="12"/>
        <color theme="1"/>
        <rFont val="Calibri"/>
        <family val="2"/>
        <scheme val="minor"/>
      </rPr>
      <t>1% dari harga barang</t>
    </r>
  </si>
  <si>
    <r>
      <t>Jika Status Pekerjaan</t>
    </r>
    <r>
      <rPr>
        <b/>
        <sz val="12"/>
        <color theme="1"/>
        <rFont val="Calibri"/>
        <family val="2"/>
        <scheme val="minor"/>
      </rPr>
      <t xml:space="preserve"> Tetap </t>
    </r>
    <r>
      <rPr>
        <sz val="12"/>
        <color theme="1"/>
        <rFont val="Calibri"/>
        <family val="2"/>
        <scheme val="minor"/>
      </rPr>
      <t>atau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Status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Perkawinan</t>
    </r>
    <r>
      <rPr>
        <b/>
        <sz val="12"/>
        <color theme="1"/>
        <rFont val="Calibri"/>
        <family val="2"/>
        <scheme val="minor"/>
      </rPr>
      <t xml:space="preserve"> Kawin</t>
    </r>
  </si>
  <si>
    <r>
      <t xml:space="preserve">Maka </t>
    </r>
    <r>
      <rPr>
        <b/>
        <sz val="12"/>
        <color theme="1"/>
        <rFont val="Calibri"/>
        <family val="2"/>
        <scheme val="minor"/>
      </rPr>
      <t xml:space="preserve">35% </t>
    </r>
    <r>
      <rPr>
        <sz val="12"/>
        <color theme="1"/>
        <rFont val="Calibri"/>
        <family val="2"/>
        <scheme val="minor"/>
      </rPr>
      <t>dari</t>
    </r>
    <r>
      <rPr>
        <b/>
        <sz val="12"/>
        <color theme="1"/>
        <rFont val="Calibri"/>
        <family val="2"/>
        <scheme val="minor"/>
      </rPr>
      <t xml:space="preserve"> Insentif Penjualan </t>
    </r>
  </si>
  <si>
    <r>
      <t xml:space="preserve">Selain itu Tunjangan </t>
    </r>
    <r>
      <rPr>
        <b/>
        <sz val="12"/>
        <color theme="1"/>
        <rFont val="Calibri"/>
        <family val="2"/>
        <scheme val="minor"/>
      </rPr>
      <t xml:space="preserve">20% </t>
    </r>
    <r>
      <rPr>
        <sz val="12"/>
        <color theme="1"/>
        <rFont val="Calibri"/>
        <family val="2"/>
        <scheme val="minor"/>
      </rPr>
      <t>Dari</t>
    </r>
    <r>
      <rPr>
        <b/>
        <sz val="12"/>
        <color theme="1"/>
        <rFont val="Calibri"/>
        <family val="2"/>
        <scheme val="minor"/>
      </rPr>
      <t xml:space="preserve"> insentif penjualan</t>
    </r>
  </si>
  <si>
    <t>Tabungan</t>
  </si>
  <si>
    <t>Total :</t>
  </si>
  <si>
    <t xml:space="preserve"> Insentif Penjualan + Tunjangan + Bonus - Tabungan</t>
  </si>
  <si>
    <t xml:space="preserve">Insentif Penjualan : </t>
  </si>
  <si>
    <t xml:space="preserve">Bonus : </t>
  </si>
  <si>
    <t>Tabungan :</t>
  </si>
  <si>
    <r>
      <t xml:space="preserve">jika status pekerjaan tetap maka </t>
    </r>
    <r>
      <rPr>
        <b/>
        <i/>
        <sz val="14"/>
        <color theme="1"/>
        <rFont val="Calibri"/>
        <family val="2"/>
        <scheme val="minor"/>
      </rPr>
      <t>Rp.1.200.000</t>
    </r>
  </si>
  <si>
    <r>
      <t>jika status Pekerjaan honor  sebesar</t>
    </r>
    <r>
      <rPr>
        <b/>
        <i/>
        <sz val="12"/>
        <color theme="1"/>
        <rFont val="Calibri"/>
        <family val="2"/>
        <scheme val="minor"/>
      </rPr>
      <t xml:space="preserve"> </t>
    </r>
    <r>
      <rPr>
        <b/>
        <i/>
        <sz val="14"/>
        <color theme="1"/>
        <rFont val="Calibri"/>
        <family val="2"/>
        <scheme val="minor"/>
      </rPr>
      <t>Rp. 800.000</t>
    </r>
  </si>
  <si>
    <t xml:space="preserve">3 % dari Bonus </t>
  </si>
  <si>
    <t>PETUNJUK UMUM</t>
  </si>
  <si>
    <t>3. Seluruh perhitungan wajib menggunakan rumus Excel</t>
  </si>
  <si>
    <t>4. Tidak diperkenankan mengisi manual (hardcode</t>
  </si>
  <si>
    <r>
      <t>1. Kolom berwarna ungu</t>
    </r>
    <r>
      <rPr>
        <sz val="14"/>
        <color theme="1"/>
        <rFont val="Calibri"/>
        <family val="2"/>
        <scheme val="minor"/>
      </rPr>
      <t xml:space="preserve"> diisi dengan </t>
    </r>
    <r>
      <rPr>
        <b/>
        <sz val="14"/>
        <color theme="1"/>
        <rFont val="Calibri"/>
        <family val="2"/>
        <scheme val="minor"/>
      </rPr>
      <t>NIM masing-masing mahasiswa</t>
    </r>
  </si>
  <si>
    <r>
      <t xml:space="preserve">2. Kolom </t>
    </r>
    <r>
      <rPr>
        <b/>
        <sz val="14"/>
        <color theme="1"/>
        <rFont val="Calibri"/>
        <family val="2"/>
        <scheme val="minor"/>
      </rPr>
      <t>Jenis Barang, Harga Barang, Nama Sales, Status</t>
    </r>
    <r>
      <rPr>
        <sz val="14"/>
        <color theme="1"/>
        <rFont val="Calibri"/>
        <family val="2"/>
        <scheme val="minor"/>
      </rPr>
      <t xml:space="preserve"> → diambil dari Sheet “Tabel Referensi”</t>
    </r>
  </si>
  <si>
    <t>Time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</si>
</sst>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.00_-;\-&quot;Rp&quot;* #,##0.00_-;_-&quot;Rp&quot;* &quot;-&quot;??_-;_-@_-"/>
    <numFmt numFmtId="165" formatCode="_-[$Rp-421]* #,##0_-;\-[$Rp-421]* #,##0_-;_-[$Rp-421]* &quot;-&quot;_-;_-@_-"/>
    <numFmt numFmtId="166" formatCode="_-[$Rp-421]* #,##0.00_-;\-[$Rp-421]* #,##0.00_-;_-[$Rp-421]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5" fillId="2" borderId="0" xfId="0" applyFont="1" applyFill="1"/>
    <xf numFmtId="0" fontId="8" fillId="0" borderId="1" xfId="0" applyFont="1" applyBorder="1"/>
    <xf numFmtId="0" fontId="1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7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164" fontId="13" fillId="0" borderId="1" xfId="0" applyNumberFormat="1" applyFont="1" applyBorder="1"/>
    <xf numFmtId="0" fontId="14" fillId="0" borderId="1" xfId="0" applyFont="1" applyBorder="1"/>
    <xf numFmtId="164" fontId="14" fillId="0" borderId="1" xfId="0" applyNumberFormat="1" applyFont="1" applyBorder="1" applyAlignment="1">
      <alignment horizontal="center"/>
    </xf>
    <xf numFmtId="164" fontId="14" fillId="0" borderId="1" xfId="0" applyNumberFormat="1" applyFont="1" applyBorder="1"/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7" fillId="0" borderId="0" xfId="0" applyFont="1"/>
    <xf numFmtId="0" fontId="15" fillId="0" borderId="0" xfId="0" applyFont="1"/>
    <xf numFmtId="0" fontId="14" fillId="6" borderId="1" xfId="0" applyFont="1" applyFill="1" applyBorder="1"/>
    <xf numFmtId="0" fontId="16" fillId="0" borderId="0" xfId="0" applyFont="1"/>
    <xf numFmtId="0" fontId="3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left"/>
    </xf>
    <xf numFmtId="0" fontId="16" fillId="5" borderId="0" xfId="0" applyFont="1" applyFill="1" applyAlignment="1">
      <alignment horizontal="left"/>
    </xf>
    <xf numFmtId="165" fontId="14" fillId="0" borderId="1" xfId="0" applyNumberFormat="1" applyFont="1" applyBorder="1"/>
    <xf numFmtId="165" fontId="8" fillId="0" borderId="1" xfId="0" applyNumberFormat="1" applyFont="1" applyBorder="1"/>
    <xf numFmtId="0" fontId="12" fillId="0" borderId="8" xfId="0" applyFont="1" applyBorder="1" applyAlignment="1">
      <alignment horizontal="center"/>
    </xf>
    <xf numFmtId="0" fontId="13" fillId="0" borderId="8" xfId="0" applyFont="1" applyBorder="1"/>
    <xf numFmtId="164" fontId="13" fillId="0" borderId="8" xfId="0" applyNumberFormat="1" applyFont="1" applyBorder="1"/>
    <xf numFmtId="0" fontId="0" fillId="2" borderId="8" xfId="0" applyFill="1" applyBorder="1"/>
    <xf numFmtId="0" fontId="14" fillId="0" borderId="8" xfId="0" applyFont="1" applyBorder="1"/>
    <xf numFmtId="164" fontId="14" fillId="0" borderId="8" xfId="0" applyNumberFormat="1" applyFont="1" applyBorder="1" applyAlignment="1">
      <alignment horizontal="center"/>
    </xf>
    <xf numFmtId="164" fontId="14" fillId="0" borderId="8" xfId="0" applyNumberFormat="1" applyFont="1" applyBorder="1"/>
    <xf numFmtId="165" fontId="14" fillId="0" borderId="8" xfId="0" applyNumberFormat="1" applyFont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164" fontId="13" fillId="0" borderId="2" xfId="0" applyNumberFormat="1" applyFont="1" applyBorder="1"/>
    <xf numFmtId="0" fontId="0" fillId="2" borderId="2" xfId="0" applyFill="1" applyBorder="1"/>
    <xf numFmtId="0" fontId="14" fillId="0" borderId="2" xfId="0" applyFont="1" applyBorder="1"/>
    <xf numFmtId="164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/>
    <xf numFmtId="165" fontId="14" fillId="0" borderId="2" xfId="0" applyNumberFormat="1" applyFont="1" applyBorder="1"/>
    <xf numFmtId="0" fontId="8" fillId="0" borderId="8" xfId="0" applyFont="1" applyBorder="1"/>
    <xf numFmtId="165" fontId="8" fillId="0" borderId="8" xfId="0" applyNumberFormat="1" applyFont="1" applyBorder="1"/>
    <xf numFmtId="0" fontId="8" fillId="0" borderId="2" xfId="0" applyFont="1" applyBorder="1"/>
    <xf numFmtId="165" fontId="8" fillId="0" borderId="2" xfId="0" applyNumberFormat="1" applyFont="1" applyBorder="1"/>
    <xf numFmtId="0" fontId="4" fillId="7" borderId="2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4" fillId="5" borderId="0" xfId="0" applyFont="1" applyFill="1" applyAlignment="1">
      <alignment horizontal="left"/>
    </xf>
    <xf numFmtId="0" fontId="4" fillId="7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20" fillId="5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15" xfId="0" applyFont="1" applyFill="1" applyBorder="1"/>
    <xf numFmtId="0" fontId="3" fillId="2" borderId="6" xfId="0" applyFont="1" applyFill="1" applyBorder="1"/>
    <xf numFmtId="22" fontId="4" fillId="2" borderId="6" xfId="0" applyNumberFormat="1" applyFont="1" applyFill="1" applyBorder="1" applyAlignment="1">
      <alignment horizontal="left"/>
    </xf>
    <xf numFmtId="0" fontId="21" fillId="3" borderId="0" xfId="0" applyFont="1" applyFill="1"/>
    <xf numFmtId="0" fontId="2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205739</xdr:colOff>
      <xdr:row>0</xdr:row>
      <xdr:rowOff>45720</xdr:rowOff>
    </xdr:from>
    <xdr:to>
      <xdr:col>3</xdr:col>
      <xdr:colOff>137160</xdr:colOff>
      <xdr:row>6</xdr:row>
      <xdr:rowOff>103308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E356B-16EF-F7A2-E33C-F3BE543BF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7" t="19184" r="15918" b="20816"/>
        <a:stretch>
          <a:fillRect/>
        </a:stretch>
      </xdr:blipFill>
      <xdr:spPr>
        <a:xfrm>
          <a:off x="205739" y="45720"/>
          <a:ext cx="1760221" cy="141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0</xdr:rowOff>
    </xdr:from>
    <xdr:to>
      <xdr:col>1</xdr:col>
      <xdr:colOff>662031</xdr:colOff>
      <xdr:row>4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0A2834-623D-4BBD-9E74-4C74E2F89B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5000" b="74200" l="16800" r="84000">
                      <a14:foregroundMark x1="60600" y1="69400" x2="60600" y2="69400"/>
                      <a14:foregroundMark x1="68600" y1="66400" x2="19800" y2="64400"/>
                      <a14:foregroundMark x1="19800" y1="64400" x2="64400" y2="62000"/>
                      <a14:foregroundMark x1="64400" y1="62000" x2="84000" y2="65800"/>
                      <a14:foregroundMark x1="57600" y1="74200" x2="19600" y2="68400"/>
                      <a14:foregroundMark x1="19600" y1="68400" x2="44800" y2="38600"/>
                      <a14:foregroundMark x1="44800" y1="38600" x2="50200" y2="554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387" t="19184" r="15918" b="20816"/>
        <a:stretch>
          <a:fillRect/>
        </a:stretch>
      </xdr:blipFill>
      <xdr:spPr>
        <a:xfrm>
          <a:off x="84667" y="0"/>
          <a:ext cx="1017631" cy="829733"/>
        </a:xfrm>
        <a:prstGeom prst="rect">
          <a:avLst/>
        </a:prstGeom>
      </xdr:spPr>
    </xdr:pic>
    <xdr:clientData/>
  </xdr:twoCellAnchor>
  <xdr:oneCellAnchor>
    <xdr:from>
      <xdr:col>17</xdr:col>
      <xdr:colOff>42333</xdr:colOff>
      <xdr:row>3</xdr:row>
      <xdr:rowOff>25400</xdr:rowOff>
    </xdr:from>
    <xdr:ext cx="1290572" cy="1290572"/>
    <xdr:pic>
      <xdr:nvPicPr>
        <xdr:cNvPr id="4" name="Picture 3">
          <a:extLst>
            <a:ext uri="{FF2B5EF4-FFF2-40B4-BE49-F238E27FC236}">
              <a16:creationId xmlns:a16="http://schemas.microsoft.com/office/drawing/2014/main" id="{6D54CB33-3972-423E-AE1A-3262C8958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0533" y="601133"/>
          <a:ext cx="1290572" cy="129057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76200</xdr:rowOff>
    </xdr:from>
    <xdr:to>
      <xdr:col>2</xdr:col>
      <xdr:colOff>38100</xdr:colOff>
      <xdr:row>3</xdr:row>
      <xdr:rowOff>209238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174D70-3587-4EBE-9147-10049E133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7" t="19184" r="15918" b="20816"/>
        <a:stretch>
          <a:fillRect/>
        </a:stretch>
      </xdr:blipFill>
      <xdr:spPr>
        <a:xfrm>
          <a:off x="624840" y="76200"/>
          <a:ext cx="1066800" cy="856938"/>
        </a:xfrm>
        <a:prstGeom prst="rect">
          <a:avLst/>
        </a:prstGeom>
      </xdr:spPr>
    </xdr:pic>
    <xdr:clientData/>
  </xdr:twoCellAnchor>
  <xdr:oneCellAnchor>
    <xdr:from>
      <xdr:col>3</xdr:col>
      <xdr:colOff>769620</xdr:colOff>
      <xdr:row>12</xdr:row>
      <xdr:rowOff>190500</xdr:rowOff>
    </xdr:from>
    <xdr:ext cx="1790105" cy="1790105"/>
    <xdr:pic>
      <xdr:nvPicPr>
        <xdr:cNvPr id="7" name="Picture 6">
          <a:extLst>
            <a:ext uri="{FF2B5EF4-FFF2-40B4-BE49-F238E27FC236}">
              <a16:creationId xmlns:a16="http://schemas.microsoft.com/office/drawing/2014/main" id="{8C502D80-0030-4467-A4D9-55E78390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880" y="3581400"/>
          <a:ext cx="1790105" cy="1790105"/>
        </a:xfrm>
        <a:prstGeom prst="rect">
          <a:avLst/>
        </a:prstGeom>
      </xdr:spPr>
    </xdr:pic>
    <xdr:clientData/>
  </xdr:oneCellAnchor>
  <xdr:twoCellAnchor>
    <xdr:from>
      <xdr:col>2</xdr:col>
      <xdr:colOff>15240</xdr:colOff>
      <xdr:row>13</xdr:row>
      <xdr:rowOff>121920</xdr:rowOff>
    </xdr:from>
    <xdr:to>
      <xdr:col>3</xdr:col>
      <xdr:colOff>655320</xdr:colOff>
      <xdr:row>18</xdr:row>
      <xdr:rowOff>15240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B67EC182-F493-4D70-A705-F26FE31638F1}"/>
            </a:ext>
          </a:extLst>
        </xdr:cNvPr>
        <xdr:cNvSpPr/>
      </xdr:nvSpPr>
      <xdr:spPr>
        <a:xfrm>
          <a:off x="1668780" y="3710940"/>
          <a:ext cx="2209800" cy="914400"/>
        </a:xfrm>
        <a:prstGeom prst="wedgeEllipseCallout">
          <a:avLst>
            <a:gd name="adj1" fmla="val -37573"/>
            <a:gd name="adj2" fmla="val -63955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Isi kolom warna kuning dengan identitas anda masing-masing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7D92-F3E3-4D02-B04E-8908D15C7F94}">
  <dimension ref="D1:S19"/>
  <sheetViews>
    <sheetView tabSelected="1" workbookViewId="0">
      <selection activeCell="E23" sqref="E23"/>
    </sheetView>
  </sheetViews>
  <sheetFormatPr defaultRowHeight="15.6" x14ac:dyDescent="0.3"/>
  <cols>
    <col min="1" max="4" width="8.88671875" style="3"/>
    <col min="5" max="5" width="14.5546875" style="3" customWidth="1"/>
    <col min="6" max="6" width="19.109375" style="3" customWidth="1"/>
    <col min="7" max="7" width="16.5546875" style="3" customWidth="1"/>
    <col min="8" max="8" width="19.21875" style="3" customWidth="1"/>
    <col min="9" max="16384" width="8.88671875" style="3"/>
  </cols>
  <sheetData>
    <row r="1" spans="4:19" x14ac:dyDescent="0.3">
      <c r="E1" s="89" t="s">
        <v>106</v>
      </c>
      <c r="F1" s="90">
        <f ca="1">NOW()</f>
        <v>46007.069794212963</v>
      </c>
      <c r="G1" s="90"/>
      <c r="H1" s="90"/>
      <c r="I1" s="89"/>
      <c r="J1" s="89"/>
      <c r="K1" s="89"/>
      <c r="L1" s="89"/>
      <c r="M1" s="89"/>
      <c r="N1" s="89"/>
      <c r="O1" s="89"/>
    </row>
    <row r="3" spans="4:19" ht="21" x14ac:dyDescent="0.4">
      <c r="E3" s="91" t="str">
        <f>UPPER("Laporan Penjualan Barang dan Perhitungan Insentif Sales")</f>
        <v>LAPORAN PENJUALAN BARANG DAN PERHITUNGAN INSENTIF SALES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spans="4:19" ht="21" x14ac:dyDescent="0.4">
      <c r="E4" s="91" t="str">
        <f>UPPER("Cabang Koperasi Syariah Bukiitinggi")</f>
        <v>CABANG KOPERASI SYARIAH BUKIITINGGI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</row>
    <row r="6" spans="4:19" ht="18" x14ac:dyDescent="0.35">
      <c r="E6" s="4" t="s"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4:19" ht="18" x14ac:dyDescent="0.35">
      <c r="E7" s="4" t="s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4:19" ht="18" x14ac:dyDescent="0.35">
      <c r="E8" s="4" t="s">
        <v>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4:19" ht="18" x14ac:dyDescent="0.35">
      <c r="E9" s="4" t="s">
        <v>72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4:19" ht="18" x14ac:dyDescent="0.35">
      <c r="D10" s="80"/>
      <c r="E10" s="80"/>
      <c r="F10" s="80"/>
      <c r="G10" s="80"/>
      <c r="H10" s="80"/>
      <c r="I10" s="80"/>
      <c r="J10" s="80"/>
      <c r="M10" s="4"/>
      <c r="N10" s="4"/>
      <c r="O10" s="4"/>
      <c r="P10" s="4"/>
      <c r="Q10" s="4"/>
      <c r="R10" s="4"/>
      <c r="S10" s="4"/>
    </row>
    <row r="11" spans="4:19" ht="23.4" x14ac:dyDescent="0.35">
      <c r="D11" s="80"/>
      <c r="E11" s="81" t="s">
        <v>101</v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4"/>
      <c r="R11" s="4"/>
      <c r="S11" s="4"/>
    </row>
    <row r="12" spans="4:19" ht="18" x14ac:dyDescent="0.35">
      <c r="D12" s="80"/>
      <c r="E12" s="82" t="s">
        <v>104</v>
      </c>
      <c r="F12" s="83"/>
      <c r="G12" s="83"/>
      <c r="H12" s="83"/>
      <c r="I12" s="83"/>
      <c r="J12" s="83"/>
      <c r="K12" s="4"/>
      <c r="L12" s="4"/>
      <c r="M12" s="4"/>
      <c r="N12" s="4"/>
      <c r="O12" s="4"/>
      <c r="P12" s="4"/>
      <c r="Q12" s="4"/>
      <c r="R12" s="4"/>
      <c r="S12" s="4"/>
    </row>
    <row r="13" spans="4:19" ht="18" x14ac:dyDescent="0.35">
      <c r="D13" s="80"/>
      <c r="E13" s="84" t="s">
        <v>105</v>
      </c>
      <c r="F13" s="83"/>
      <c r="G13" s="83"/>
      <c r="H13" s="83"/>
      <c r="I13" s="83"/>
      <c r="J13" s="83"/>
      <c r="K13" s="4"/>
      <c r="L13" s="4"/>
      <c r="M13" s="4"/>
      <c r="N13" s="4"/>
      <c r="O13" s="4"/>
    </row>
    <row r="14" spans="4:19" ht="18" x14ac:dyDescent="0.35">
      <c r="D14" s="80"/>
      <c r="E14" s="82" t="s">
        <v>102</v>
      </c>
      <c r="F14" s="83"/>
      <c r="G14" s="83"/>
      <c r="H14" s="83"/>
      <c r="I14" s="83"/>
      <c r="J14" s="83"/>
      <c r="K14" s="4"/>
      <c r="L14" s="4"/>
      <c r="M14" s="4"/>
      <c r="N14" s="4"/>
      <c r="O14" s="4"/>
    </row>
    <row r="15" spans="4:19" ht="18" x14ac:dyDescent="0.35">
      <c r="D15" s="80"/>
      <c r="E15" s="84" t="s">
        <v>103</v>
      </c>
      <c r="F15" s="83"/>
      <c r="G15" s="83"/>
      <c r="H15" s="83"/>
      <c r="I15" s="83"/>
      <c r="J15" s="83"/>
      <c r="K15" s="4"/>
      <c r="L15" s="4"/>
      <c r="M15" s="4"/>
      <c r="N15" s="4"/>
      <c r="O15" s="4"/>
    </row>
    <row r="16" spans="4:19" x14ac:dyDescent="0.3">
      <c r="D16" s="80"/>
      <c r="E16" s="80"/>
      <c r="F16" s="80"/>
      <c r="G16" s="80"/>
      <c r="H16" s="80"/>
      <c r="I16" s="80"/>
      <c r="J16" s="80"/>
    </row>
    <row r="17" spans="5:12" ht="18" x14ac:dyDescent="0.35">
      <c r="E17" s="87" t="s">
        <v>75</v>
      </c>
      <c r="F17" s="85"/>
      <c r="G17" s="85"/>
      <c r="H17" s="85"/>
      <c r="I17" s="13"/>
      <c r="J17" s="4"/>
      <c r="K17" s="4"/>
      <c r="L17" s="4"/>
    </row>
    <row r="18" spans="5:12" ht="18" x14ac:dyDescent="0.35">
      <c r="E18" s="87" t="s">
        <v>76</v>
      </c>
      <c r="F18" s="85"/>
      <c r="G18" s="85"/>
      <c r="H18" s="85"/>
      <c r="J18" s="4"/>
      <c r="K18" s="4"/>
      <c r="L18" s="4"/>
    </row>
    <row r="19" spans="5:12" ht="18" x14ac:dyDescent="0.35">
      <c r="E19" s="88" t="s">
        <v>77</v>
      </c>
      <c r="F19" s="86" t="s">
        <v>78</v>
      </c>
      <c r="G19" s="86"/>
      <c r="H19" s="86"/>
    </row>
  </sheetData>
  <mergeCells count="5">
    <mergeCell ref="F1:H1"/>
    <mergeCell ref="E11:P11"/>
    <mergeCell ref="F17:H17"/>
    <mergeCell ref="F18:H18"/>
    <mergeCell ref="F19:H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006A-1DA3-4606-80E6-A39B9BCBE603}">
  <dimension ref="A1:R44"/>
  <sheetViews>
    <sheetView topLeftCell="A11" zoomScale="90" zoomScaleNormal="90" workbookViewId="0">
      <selection activeCell="O31" sqref="O31"/>
    </sheetView>
  </sheetViews>
  <sheetFormatPr defaultRowHeight="14.4" x14ac:dyDescent="0.3"/>
  <cols>
    <col min="1" max="1" width="6.44140625" style="33" customWidth="1"/>
    <col min="2" max="2" width="12.77734375" bestFit="1" customWidth="1"/>
    <col min="3" max="3" width="12.5546875" bestFit="1" customWidth="1"/>
    <col min="4" max="4" width="13.5546875" bestFit="1" customWidth="1"/>
    <col min="5" max="5" width="11" bestFit="1" customWidth="1"/>
    <col min="6" max="6" width="11.6640625" bestFit="1" customWidth="1"/>
    <col min="7" max="7" width="11.5546875" customWidth="1"/>
    <col min="8" max="8" width="12.109375" bestFit="1" customWidth="1"/>
    <col min="9" max="9" width="18.109375" bestFit="1" customWidth="1"/>
    <col min="10" max="10" width="8.109375" customWidth="1"/>
    <col min="11" max="12" width="15.44140625" customWidth="1"/>
    <col min="13" max="13" width="14.33203125" customWidth="1"/>
    <col min="15" max="15" width="15.33203125" customWidth="1"/>
    <col min="16" max="16" width="19.77734375" customWidth="1"/>
    <col min="17" max="17" width="38.77734375" customWidth="1"/>
    <col min="18" max="18" width="18.6640625" bestFit="1" customWidth="1"/>
  </cols>
  <sheetData>
    <row r="1" spans="1:18" x14ac:dyDescent="0.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8" ht="15.6" x14ac:dyDescent="0.3">
      <c r="A2" s="39"/>
      <c r="B2" s="40"/>
      <c r="C2" s="13" t="str">
        <f>UPPER("Laporan Penjualan Barang dan Perhitungan Insentif Sales")</f>
        <v>LAPORAN PENJUALAN BARANG DAN PERHITUNGAN INSENTIF SALES</v>
      </c>
      <c r="D2" s="3"/>
      <c r="E2" s="3"/>
      <c r="F2" s="3"/>
      <c r="G2" s="12"/>
      <c r="H2" s="12"/>
      <c r="I2" s="12"/>
      <c r="J2" s="12"/>
      <c r="K2" s="12"/>
      <c r="L2" s="12"/>
      <c r="M2" s="12"/>
      <c r="N2" s="34"/>
      <c r="O2" s="69" t="s">
        <v>82</v>
      </c>
      <c r="P2" s="69"/>
      <c r="Q2" s="69"/>
      <c r="R2" s="35"/>
    </row>
    <row r="3" spans="1:18" ht="18" x14ac:dyDescent="0.35">
      <c r="A3" s="39"/>
      <c r="B3" s="40"/>
      <c r="C3" s="13" t="str">
        <f>UPPER("Cabang Koperasi Syariah Bukiitinggi")</f>
        <v>CABANG KOPERASI SYARIAH BUKIITINGGI</v>
      </c>
      <c r="D3" s="3"/>
      <c r="E3" s="3"/>
      <c r="F3" s="3"/>
      <c r="G3" s="12"/>
      <c r="H3" s="12"/>
      <c r="I3" s="12"/>
      <c r="J3" s="12"/>
      <c r="K3" s="12"/>
      <c r="L3" s="12"/>
      <c r="M3" s="12"/>
      <c r="N3" s="34"/>
      <c r="O3" s="2" t="s">
        <v>84</v>
      </c>
      <c r="P3" s="2"/>
      <c r="Q3" s="2"/>
    </row>
    <row r="4" spans="1:18" ht="15.6" x14ac:dyDescent="0.3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O4" s="2" t="s">
        <v>80</v>
      </c>
      <c r="P4" s="2"/>
      <c r="Q4" s="2"/>
    </row>
    <row r="5" spans="1:18" ht="15.6" x14ac:dyDescent="0.3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O5" s="2" t="s">
        <v>83</v>
      </c>
      <c r="P5" s="2"/>
      <c r="Q5" s="2"/>
    </row>
    <row r="6" spans="1:18" ht="15.6" x14ac:dyDescent="0.3">
      <c r="A6" s="78" t="s">
        <v>3</v>
      </c>
      <c r="B6" s="78" t="s">
        <v>50</v>
      </c>
      <c r="C6" s="78" t="s">
        <v>4</v>
      </c>
      <c r="D6" s="78" t="s">
        <v>5</v>
      </c>
      <c r="E6" s="78" t="s">
        <v>6</v>
      </c>
      <c r="F6" s="78" t="s">
        <v>7</v>
      </c>
      <c r="G6" s="78" t="s">
        <v>8</v>
      </c>
      <c r="H6" s="78"/>
      <c r="I6" s="78" t="s">
        <v>9</v>
      </c>
      <c r="J6" s="78" t="s">
        <v>10</v>
      </c>
      <c r="K6" s="78" t="s">
        <v>11</v>
      </c>
      <c r="L6" s="70" t="s">
        <v>92</v>
      </c>
      <c r="M6" s="78" t="s">
        <v>12</v>
      </c>
      <c r="O6" s="2" t="s">
        <v>81</v>
      </c>
      <c r="P6" s="2"/>
      <c r="Q6" s="2"/>
      <c r="R6" s="35"/>
    </row>
    <row r="7" spans="1:18" ht="16.2" thickBot="1" x14ac:dyDescent="0.35">
      <c r="A7" s="79"/>
      <c r="B7" s="79"/>
      <c r="C7" s="79"/>
      <c r="D7" s="79"/>
      <c r="E7" s="79"/>
      <c r="F7" s="79"/>
      <c r="G7" s="65" t="s">
        <v>13</v>
      </c>
      <c r="H7" s="65" t="s">
        <v>14</v>
      </c>
      <c r="I7" s="79"/>
      <c r="J7" s="79"/>
      <c r="K7" s="79"/>
      <c r="L7" s="71"/>
      <c r="M7" s="79"/>
      <c r="O7" s="42" t="s">
        <v>95</v>
      </c>
      <c r="P7" s="42"/>
      <c r="Q7" s="42"/>
      <c r="R7" s="35"/>
    </row>
    <row r="8" spans="1:18" ht="16.2" thickTop="1" x14ac:dyDescent="0.3">
      <c r="A8" s="45">
        <v>1</v>
      </c>
      <c r="B8" s="46" t="s">
        <v>15</v>
      </c>
      <c r="C8" s="46"/>
      <c r="D8" s="47"/>
      <c r="E8" s="48">
        <v>2513001</v>
      </c>
      <c r="F8" s="49"/>
      <c r="G8" s="49"/>
      <c r="H8" s="49"/>
      <c r="I8" s="50"/>
      <c r="J8" s="51"/>
      <c r="K8" s="51"/>
      <c r="L8" s="52"/>
      <c r="M8" s="51"/>
      <c r="O8" s="2" t="s">
        <v>86</v>
      </c>
      <c r="P8" s="2"/>
      <c r="Q8" s="2"/>
      <c r="R8" s="35"/>
    </row>
    <row r="9" spans="1:18" ht="15.6" x14ac:dyDescent="0.3">
      <c r="A9" s="24">
        <v>2</v>
      </c>
      <c r="B9" s="25" t="s">
        <v>16</v>
      </c>
      <c r="C9" s="25"/>
      <c r="D9" s="26"/>
      <c r="E9" s="32">
        <v>2513002</v>
      </c>
      <c r="F9" s="27"/>
      <c r="G9" s="27"/>
      <c r="H9" s="27"/>
      <c r="I9" s="28"/>
      <c r="J9" s="29"/>
      <c r="K9" s="29"/>
      <c r="L9" s="43"/>
      <c r="M9" s="29"/>
      <c r="O9" s="2" t="s">
        <v>85</v>
      </c>
      <c r="P9" s="2"/>
      <c r="Q9" s="2"/>
      <c r="R9" s="35"/>
    </row>
    <row r="10" spans="1:18" ht="15.6" x14ac:dyDescent="0.3">
      <c r="A10" s="24">
        <v>3</v>
      </c>
      <c r="B10" s="25" t="s">
        <v>17</v>
      </c>
      <c r="C10" s="25"/>
      <c r="D10" s="26"/>
      <c r="E10" s="32">
        <v>2513003</v>
      </c>
      <c r="F10" s="27"/>
      <c r="G10" s="27"/>
      <c r="H10" s="27"/>
      <c r="I10" s="28"/>
      <c r="J10" s="29"/>
      <c r="K10" s="29"/>
      <c r="L10" s="43"/>
      <c r="M10" s="29"/>
      <c r="O10" s="2" t="s">
        <v>87</v>
      </c>
      <c r="P10" s="2"/>
      <c r="Q10" s="2"/>
      <c r="R10" s="35"/>
    </row>
    <row r="11" spans="1:18" ht="15.6" x14ac:dyDescent="0.3">
      <c r="A11" s="24">
        <v>4</v>
      </c>
      <c r="B11" s="25" t="s">
        <v>18</v>
      </c>
      <c r="C11" s="25"/>
      <c r="D11" s="26"/>
      <c r="E11" s="32">
        <v>2513004</v>
      </c>
      <c r="F11" s="27"/>
      <c r="G11" s="27"/>
      <c r="H11" s="27"/>
      <c r="I11" s="28"/>
      <c r="J11" s="29"/>
      <c r="K11" s="29"/>
      <c r="L11" s="43"/>
      <c r="M11" s="29"/>
      <c r="O11" s="2" t="s">
        <v>88</v>
      </c>
      <c r="P11" s="2"/>
      <c r="Q11" s="2"/>
      <c r="R11" s="35"/>
    </row>
    <row r="12" spans="1:18" ht="15.6" x14ac:dyDescent="0.3">
      <c r="A12" s="24">
        <v>5</v>
      </c>
      <c r="B12" s="25" t="s">
        <v>19</v>
      </c>
      <c r="C12" s="25"/>
      <c r="D12" s="26"/>
      <c r="E12" s="32">
        <v>2513005</v>
      </c>
      <c r="F12" s="27"/>
      <c r="G12" s="27"/>
      <c r="H12" s="27"/>
      <c r="I12" s="28"/>
      <c r="J12" s="29"/>
      <c r="K12" s="29"/>
      <c r="L12" s="43"/>
      <c r="M12" s="29"/>
      <c r="O12" s="42" t="s">
        <v>79</v>
      </c>
      <c r="P12" s="42"/>
      <c r="Q12" s="42"/>
      <c r="R12" s="35"/>
    </row>
    <row r="13" spans="1:18" ht="15.6" x14ac:dyDescent="0.3">
      <c r="A13" s="24">
        <v>6</v>
      </c>
      <c r="B13" s="25" t="s">
        <v>20</v>
      </c>
      <c r="C13" s="25"/>
      <c r="D13" s="26"/>
      <c r="E13" s="36"/>
      <c r="F13" s="27"/>
      <c r="G13" s="27"/>
      <c r="H13" s="27"/>
      <c r="I13" s="28"/>
      <c r="J13" s="29"/>
      <c r="K13" s="29"/>
      <c r="L13" s="43"/>
      <c r="M13" s="29"/>
      <c r="O13" s="2" t="s">
        <v>89</v>
      </c>
      <c r="P13" s="2"/>
      <c r="Q13" s="2"/>
      <c r="R13" s="35"/>
    </row>
    <row r="14" spans="1:18" ht="15.6" x14ac:dyDescent="0.3">
      <c r="A14" s="24">
        <v>7</v>
      </c>
      <c r="B14" s="25" t="s">
        <v>17</v>
      </c>
      <c r="C14" s="25"/>
      <c r="D14" s="26"/>
      <c r="E14" s="36"/>
      <c r="F14" s="27"/>
      <c r="G14" s="27"/>
      <c r="H14" s="27"/>
      <c r="I14" s="28"/>
      <c r="J14" s="29"/>
      <c r="K14" s="29"/>
      <c r="L14" s="43"/>
      <c r="M14" s="29"/>
      <c r="O14" s="2" t="s">
        <v>90</v>
      </c>
      <c r="P14" s="2"/>
      <c r="Q14" s="2"/>
      <c r="R14" s="35"/>
    </row>
    <row r="15" spans="1:18" ht="15.6" x14ac:dyDescent="0.3">
      <c r="A15" s="24">
        <v>8</v>
      </c>
      <c r="B15" s="25" t="s">
        <v>18</v>
      </c>
      <c r="C15" s="25"/>
      <c r="D15" s="26"/>
      <c r="E15" s="36"/>
      <c r="F15" s="27"/>
      <c r="G15" s="27"/>
      <c r="H15" s="27"/>
      <c r="I15" s="28"/>
      <c r="J15" s="29"/>
      <c r="K15" s="29"/>
      <c r="L15" s="43"/>
      <c r="M15" s="29"/>
      <c r="O15" s="2" t="s">
        <v>91</v>
      </c>
      <c r="P15" s="2"/>
      <c r="Q15" s="2"/>
      <c r="R15" s="35"/>
    </row>
    <row r="16" spans="1:18" ht="15.6" x14ac:dyDescent="0.3">
      <c r="A16" s="24">
        <v>9</v>
      </c>
      <c r="B16" s="25" t="s">
        <v>21</v>
      </c>
      <c r="C16" s="25"/>
      <c r="D16" s="26"/>
      <c r="E16" s="32">
        <v>2513001</v>
      </c>
      <c r="F16" s="27"/>
      <c r="G16" s="27"/>
      <c r="H16" s="27"/>
      <c r="I16" s="28"/>
      <c r="J16" s="29"/>
      <c r="K16" s="29"/>
      <c r="L16" s="43"/>
      <c r="M16" s="29"/>
      <c r="O16" s="42" t="s">
        <v>96</v>
      </c>
      <c r="P16" s="42"/>
      <c r="Q16" s="42"/>
      <c r="R16" s="35"/>
    </row>
    <row r="17" spans="1:18" ht="18" x14ac:dyDescent="0.3">
      <c r="A17" s="24">
        <v>10</v>
      </c>
      <c r="B17" s="25" t="s">
        <v>22</v>
      </c>
      <c r="C17" s="25"/>
      <c r="D17" s="26"/>
      <c r="E17" s="32">
        <v>2513002</v>
      </c>
      <c r="F17" s="27"/>
      <c r="G17" s="27"/>
      <c r="H17" s="27"/>
      <c r="I17" s="28"/>
      <c r="J17" s="29"/>
      <c r="K17" s="29"/>
      <c r="L17" s="43"/>
      <c r="M17" s="29"/>
      <c r="O17" s="38" t="s">
        <v>98</v>
      </c>
      <c r="P17" s="2"/>
      <c r="Q17" s="2"/>
      <c r="R17" s="35"/>
    </row>
    <row r="18" spans="1:18" ht="18" x14ac:dyDescent="0.35">
      <c r="A18" s="24">
        <v>11</v>
      </c>
      <c r="B18" s="25" t="s">
        <v>23</v>
      </c>
      <c r="C18" s="25"/>
      <c r="D18" s="26"/>
      <c r="E18" s="32">
        <v>2513003</v>
      </c>
      <c r="F18" s="27"/>
      <c r="G18" s="27"/>
      <c r="H18" s="27"/>
      <c r="I18" s="28"/>
      <c r="J18" s="29"/>
      <c r="K18" s="29"/>
      <c r="L18" s="43"/>
      <c r="M18" s="29"/>
      <c r="O18" s="2" t="s">
        <v>99</v>
      </c>
      <c r="P18" s="2"/>
      <c r="Q18" s="2"/>
      <c r="R18" s="35"/>
    </row>
    <row r="19" spans="1:18" ht="15.6" x14ac:dyDescent="0.3">
      <c r="A19" s="24">
        <v>12</v>
      </c>
      <c r="B19" s="25" t="s">
        <v>24</v>
      </c>
      <c r="C19" s="25"/>
      <c r="D19" s="26"/>
      <c r="E19" s="32">
        <v>2513004</v>
      </c>
      <c r="F19" s="27"/>
      <c r="G19" s="27"/>
      <c r="H19" s="27"/>
      <c r="I19" s="28"/>
      <c r="J19" s="29"/>
      <c r="K19" s="29"/>
      <c r="L19" s="43"/>
      <c r="M19" s="29"/>
      <c r="O19" s="42" t="s">
        <v>97</v>
      </c>
      <c r="P19" s="42"/>
      <c r="Q19" s="42"/>
    </row>
    <row r="20" spans="1:18" ht="15.6" x14ac:dyDescent="0.3">
      <c r="A20" s="24">
        <v>13</v>
      </c>
      <c r="B20" s="25" t="s">
        <v>15</v>
      </c>
      <c r="C20" s="25"/>
      <c r="D20" s="26"/>
      <c r="E20" s="32">
        <v>2513005</v>
      </c>
      <c r="F20" s="27"/>
      <c r="G20" s="27"/>
      <c r="H20" s="27"/>
      <c r="I20" s="28"/>
      <c r="J20" s="29"/>
      <c r="K20" s="29"/>
      <c r="L20" s="43"/>
      <c r="M20" s="29"/>
      <c r="O20" s="38" t="s">
        <v>100</v>
      </c>
      <c r="P20" s="2"/>
      <c r="Q20" s="2"/>
    </row>
    <row r="21" spans="1:18" ht="15.6" x14ac:dyDescent="0.3">
      <c r="A21" s="24">
        <v>14</v>
      </c>
      <c r="B21" s="25" t="s">
        <v>16</v>
      </c>
      <c r="C21" s="25"/>
      <c r="D21" s="26"/>
      <c r="E21" s="32">
        <v>2513002</v>
      </c>
      <c r="F21" s="27"/>
      <c r="G21" s="27"/>
      <c r="H21" s="27"/>
      <c r="I21" s="28"/>
      <c r="J21" s="29"/>
      <c r="K21" s="29"/>
      <c r="L21" s="43"/>
      <c r="M21" s="29"/>
      <c r="O21" s="42" t="s">
        <v>93</v>
      </c>
      <c r="P21" s="42"/>
      <c r="Q21" s="42"/>
    </row>
    <row r="22" spans="1:18" ht="15.6" x14ac:dyDescent="0.3">
      <c r="A22" s="24">
        <v>15</v>
      </c>
      <c r="B22" s="25" t="s">
        <v>25</v>
      </c>
      <c r="C22" s="25"/>
      <c r="D22" s="26"/>
      <c r="E22" s="32">
        <v>2513005</v>
      </c>
      <c r="F22" s="27"/>
      <c r="G22" s="27"/>
      <c r="H22" s="27"/>
      <c r="I22" s="28"/>
      <c r="J22" s="29"/>
      <c r="K22" s="29"/>
      <c r="L22" s="43"/>
      <c r="M22" s="29"/>
      <c r="O22" s="38" t="s">
        <v>94</v>
      </c>
      <c r="P22" s="2"/>
      <c r="Q22" s="2"/>
    </row>
    <row r="23" spans="1:18" ht="15.6" x14ac:dyDescent="0.3">
      <c r="A23" s="24">
        <v>16</v>
      </c>
      <c r="B23" s="25" t="s">
        <v>26</v>
      </c>
      <c r="C23" s="25"/>
      <c r="D23" s="26"/>
      <c r="E23" s="32">
        <v>2513001</v>
      </c>
      <c r="F23" s="27"/>
      <c r="G23" s="27"/>
      <c r="H23" s="27"/>
      <c r="I23" s="28"/>
      <c r="J23" s="29"/>
      <c r="K23" s="29"/>
      <c r="L23" s="43"/>
      <c r="M23" s="29"/>
      <c r="O23" s="37"/>
      <c r="P23" s="2"/>
      <c r="Q23" s="2"/>
    </row>
    <row r="24" spans="1:18" x14ac:dyDescent="0.3">
      <c r="A24" s="24">
        <v>17</v>
      </c>
      <c r="B24" s="25" t="s">
        <v>18</v>
      </c>
      <c r="C24" s="25"/>
      <c r="D24" s="26"/>
      <c r="E24" s="36"/>
      <c r="F24" s="27"/>
      <c r="G24" s="27"/>
      <c r="H24" s="27"/>
      <c r="I24" s="28"/>
      <c r="J24" s="29"/>
      <c r="K24" s="29"/>
      <c r="L24" s="43"/>
      <c r="M24" s="29"/>
      <c r="O24" s="1" t="s">
        <v>39</v>
      </c>
    </row>
    <row r="25" spans="1:18" x14ac:dyDescent="0.3">
      <c r="A25" s="24">
        <v>18</v>
      </c>
      <c r="B25" s="25" t="s">
        <v>19</v>
      </c>
      <c r="C25" s="25"/>
      <c r="D25" s="26"/>
      <c r="E25" s="36"/>
      <c r="F25" s="27"/>
      <c r="G25" s="27"/>
      <c r="H25" s="27"/>
      <c r="I25" s="28"/>
      <c r="J25" s="29"/>
      <c r="K25" s="29"/>
      <c r="L25" s="43"/>
      <c r="M25" s="29"/>
      <c r="O25" s="6" t="s">
        <v>6</v>
      </c>
      <c r="P25" s="6" t="s">
        <v>7</v>
      </c>
      <c r="Q25" s="6" t="s">
        <v>33</v>
      </c>
    </row>
    <row r="26" spans="1:18" x14ac:dyDescent="0.3">
      <c r="A26" s="24">
        <v>19</v>
      </c>
      <c r="B26" s="25" t="s">
        <v>20</v>
      </c>
      <c r="C26" s="25"/>
      <c r="D26" s="26"/>
      <c r="E26" s="36"/>
      <c r="F26" s="27"/>
      <c r="G26" s="27"/>
      <c r="H26" s="27"/>
      <c r="I26" s="28"/>
      <c r="J26" s="29"/>
      <c r="K26" s="29"/>
      <c r="L26" s="43"/>
      <c r="M26" s="29"/>
      <c r="O26" s="41">
        <v>2513001</v>
      </c>
      <c r="P26" s="22" t="s">
        <v>34</v>
      </c>
      <c r="Q26" s="23"/>
    </row>
    <row r="27" spans="1:18" ht="15" thickBot="1" x14ac:dyDescent="0.35">
      <c r="A27" s="53">
        <v>20</v>
      </c>
      <c r="B27" s="54" t="s">
        <v>17</v>
      </c>
      <c r="C27" s="54"/>
      <c r="D27" s="55"/>
      <c r="E27" s="56">
        <v>2513003</v>
      </c>
      <c r="F27" s="57"/>
      <c r="G27" s="57"/>
      <c r="H27" s="57"/>
      <c r="I27" s="58"/>
      <c r="J27" s="59"/>
      <c r="K27" s="59"/>
      <c r="L27" s="60"/>
      <c r="M27" s="59"/>
      <c r="O27" s="41">
        <v>2513002</v>
      </c>
      <c r="P27" s="22" t="s">
        <v>35</v>
      </c>
      <c r="Q27" s="23"/>
    </row>
    <row r="28" spans="1:18" ht="15" thickTop="1" x14ac:dyDescent="0.3">
      <c r="A28" s="72" t="s">
        <v>28</v>
      </c>
      <c r="B28" s="73"/>
      <c r="C28" s="74"/>
      <c r="D28" s="61"/>
      <c r="E28" s="61"/>
      <c r="F28" s="61"/>
      <c r="G28" s="61"/>
      <c r="H28" s="61"/>
      <c r="I28" s="61"/>
      <c r="J28" s="61"/>
      <c r="K28" s="61"/>
      <c r="L28" s="62"/>
      <c r="M28" s="61"/>
      <c r="O28" s="41">
        <v>2513003</v>
      </c>
      <c r="P28" s="22" t="s">
        <v>36</v>
      </c>
      <c r="Q28" s="23"/>
    </row>
    <row r="29" spans="1:18" x14ac:dyDescent="0.3">
      <c r="A29" s="75" t="s">
        <v>29</v>
      </c>
      <c r="B29" s="76"/>
      <c r="C29" s="77"/>
      <c r="D29" s="5"/>
      <c r="E29" s="5"/>
      <c r="F29" s="5"/>
      <c r="G29" s="5"/>
      <c r="H29" s="5"/>
      <c r="I29" s="5"/>
      <c r="J29" s="5"/>
      <c r="K29" s="5"/>
      <c r="L29" s="44"/>
      <c r="M29" s="5"/>
      <c r="O29" s="41">
        <v>2513004</v>
      </c>
      <c r="P29" s="22" t="s">
        <v>37</v>
      </c>
      <c r="Q29" s="23"/>
    </row>
    <row r="30" spans="1:18" x14ac:dyDescent="0.3">
      <c r="A30" s="75" t="s">
        <v>30</v>
      </c>
      <c r="B30" s="76"/>
      <c r="C30" s="77"/>
      <c r="D30" s="5"/>
      <c r="E30" s="5"/>
      <c r="F30" s="5"/>
      <c r="G30" s="5"/>
      <c r="H30" s="5"/>
      <c r="I30" s="5"/>
      <c r="J30" s="5"/>
      <c r="K30" s="5"/>
      <c r="L30" s="44"/>
      <c r="M30" s="5"/>
      <c r="O30" s="41">
        <v>2513005</v>
      </c>
      <c r="P30" s="22" t="s">
        <v>38</v>
      </c>
      <c r="Q30" s="23"/>
    </row>
    <row r="31" spans="1:18" x14ac:dyDescent="0.3">
      <c r="A31" s="75" t="s">
        <v>31</v>
      </c>
      <c r="B31" s="76"/>
      <c r="C31" s="77"/>
      <c r="D31" s="5"/>
      <c r="E31" s="5"/>
      <c r="F31" s="5"/>
      <c r="G31" s="5"/>
      <c r="H31" s="5"/>
      <c r="I31" s="5"/>
      <c r="J31" s="5"/>
      <c r="K31" s="5"/>
      <c r="L31" s="44"/>
      <c r="M31" s="5"/>
      <c r="O31" s="30" t="s">
        <v>40</v>
      </c>
      <c r="P31" s="30" t="s">
        <v>41</v>
      </c>
      <c r="Q31" s="23"/>
    </row>
    <row r="32" spans="1:18" ht="15" thickBot="1" x14ac:dyDescent="0.35">
      <c r="A32" s="66" t="s">
        <v>32</v>
      </c>
      <c r="B32" s="67"/>
      <c r="C32" s="68"/>
      <c r="D32" s="63"/>
      <c r="E32" s="63"/>
      <c r="F32" s="63"/>
      <c r="G32" s="63"/>
      <c r="H32" s="63"/>
      <c r="I32" s="63"/>
      <c r="J32" s="63"/>
      <c r="K32" s="63"/>
      <c r="L32" s="64"/>
      <c r="M32" s="63"/>
    </row>
    <row r="33" spans="3:5" ht="15" thickTop="1" x14ac:dyDescent="0.3"/>
    <row r="43" spans="3:5" ht="15.6" x14ac:dyDescent="0.3">
      <c r="C43" s="8"/>
      <c r="D43" s="8"/>
      <c r="E43" s="8"/>
    </row>
    <row r="44" spans="3:5" x14ac:dyDescent="0.3">
      <c r="C44" s="9"/>
      <c r="D44" s="9"/>
      <c r="E44" s="31"/>
    </row>
  </sheetData>
  <mergeCells count="18">
    <mergeCell ref="E6:E7"/>
    <mergeCell ref="F6:F7"/>
    <mergeCell ref="A32:C32"/>
    <mergeCell ref="O2:Q2"/>
    <mergeCell ref="L6:L7"/>
    <mergeCell ref="A28:C28"/>
    <mergeCell ref="A29:C29"/>
    <mergeCell ref="A30:C30"/>
    <mergeCell ref="A31:C31"/>
    <mergeCell ref="G6:H6"/>
    <mergeCell ref="I6:I7"/>
    <mergeCell ref="J6:J7"/>
    <mergeCell ref="K6:K7"/>
    <mergeCell ref="M6:M7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3AF3-1EE4-4C3E-A544-80D847F67509}">
  <dimension ref="B2:I21"/>
  <sheetViews>
    <sheetView workbookViewId="0">
      <selection activeCell="F24" sqref="F24"/>
    </sheetView>
  </sheetViews>
  <sheetFormatPr defaultRowHeight="15.6" x14ac:dyDescent="0.3"/>
  <cols>
    <col min="1" max="1" width="8.88671875" style="3"/>
    <col min="2" max="2" width="15.21875" style="3" customWidth="1"/>
    <col min="3" max="3" width="22.88671875" style="3" customWidth="1"/>
    <col min="4" max="4" width="16.77734375" style="3" bestFit="1" customWidth="1"/>
    <col min="5" max="5" width="18.6640625" style="3" bestFit="1" customWidth="1"/>
    <col min="6" max="6" width="19.21875" style="3" customWidth="1"/>
    <col min="7" max="7" width="16.6640625" style="3" customWidth="1"/>
    <col min="8" max="8" width="28.88671875" style="3" bestFit="1" customWidth="1"/>
    <col min="9" max="9" width="26.44140625" style="3" customWidth="1"/>
    <col min="10" max="10" width="30" style="3" bestFit="1" customWidth="1"/>
    <col min="11" max="11" width="16.5546875" style="3" customWidth="1"/>
    <col min="12" max="12" width="13.21875" style="3" customWidth="1"/>
    <col min="13" max="13" width="13.88671875" style="3" customWidth="1"/>
    <col min="14" max="16384" width="8.88671875" style="3"/>
  </cols>
  <sheetData>
    <row r="2" spans="2:9" s="13" customFormat="1" ht="25.8" customHeight="1" x14ac:dyDescent="0.3"/>
    <row r="3" spans="2:9" x14ac:dyDescent="0.3">
      <c r="B3" s="14"/>
      <c r="C3" s="14"/>
      <c r="D3" s="14"/>
      <c r="E3" s="14"/>
      <c r="F3" s="14"/>
      <c r="G3" s="14"/>
      <c r="H3" s="14"/>
      <c r="I3" s="14"/>
    </row>
    <row r="4" spans="2:9" s="14" customFormat="1" ht="29.4" customHeight="1" x14ac:dyDescent="0.3">
      <c r="C4" s="13"/>
      <c r="D4" s="13"/>
      <c r="E4" s="13"/>
      <c r="F4" s="3"/>
      <c r="H4" s="13"/>
      <c r="I4" s="13"/>
    </row>
    <row r="5" spans="2:9" x14ac:dyDescent="0.3">
      <c r="B5" s="13" t="s">
        <v>58</v>
      </c>
      <c r="G5" s="13" t="s">
        <v>49</v>
      </c>
    </row>
    <row r="6" spans="2:9" s="15" customFormat="1" ht="31.2" customHeight="1" x14ac:dyDescent="0.3">
      <c r="B6" s="7" t="s">
        <v>6</v>
      </c>
      <c r="C6" s="7" t="s">
        <v>42</v>
      </c>
      <c r="D6" s="7" t="s">
        <v>43</v>
      </c>
      <c r="E6" s="7" t="s">
        <v>44</v>
      </c>
      <c r="G6" s="10" t="s">
        <v>50</v>
      </c>
      <c r="H6" s="10" t="s">
        <v>59</v>
      </c>
      <c r="I6" s="10" t="s">
        <v>60</v>
      </c>
    </row>
    <row r="7" spans="2:9" s="15" customFormat="1" x14ac:dyDescent="0.3">
      <c r="B7" s="16">
        <v>2513001</v>
      </c>
      <c r="C7" s="16" t="s">
        <v>34</v>
      </c>
      <c r="D7" s="16" t="s">
        <v>45</v>
      </c>
      <c r="E7" s="16" t="s">
        <v>47</v>
      </c>
      <c r="F7" s="3"/>
      <c r="G7" s="17" t="s">
        <v>15</v>
      </c>
      <c r="H7" s="18" t="s">
        <v>51</v>
      </c>
      <c r="I7" s="19">
        <v>145000</v>
      </c>
    </row>
    <row r="8" spans="2:9" x14ac:dyDescent="0.3">
      <c r="B8" s="16">
        <v>2513002</v>
      </c>
      <c r="C8" s="16" t="s">
        <v>35</v>
      </c>
      <c r="D8" s="16" t="s">
        <v>48</v>
      </c>
      <c r="E8" s="16" t="s">
        <v>46</v>
      </c>
      <c r="G8" s="17" t="s">
        <v>16</v>
      </c>
      <c r="H8" s="18" t="s">
        <v>61</v>
      </c>
      <c r="I8" s="19">
        <v>98000</v>
      </c>
    </row>
    <row r="9" spans="2:9" x14ac:dyDescent="0.3">
      <c r="B9" s="16">
        <v>2513003</v>
      </c>
      <c r="C9" s="16" t="s">
        <v>36</v>
      </c>
      <c r="D9" s="16" t="s">
        <v>45</v>
      </c>
      <c r="E9" s="16" t="s">
        <v>46</v>
      </c>
      <c r="G9" s="17" t="s">
        <v>17</v>
      </c>
      <c r="H9" s="18" t="s">
        <v>52</v>
      </c>
      <c r="I9" s="19">
        <v>125000</v>
      </c>
    </row>
    <row r="10" spans="2:9" x14ac:dyDescent="0.3">
      <c r="B10" s="16">
        <v>2513004</v>
      </c>
      <c r="C10" s="16" t="s">
        <v>37</v>
      </c>
      <c r="D10" s="16" t="s">
        <v>45</v>
      </c>
      <c r="E10" s="16" t="s">
        <v>47</v>
      </c>
      <c r="G10" s="17" t="s">
        <v>18</v>
      </c>
      <c r="H10" s="18" t="s">
        <v>62</v>
      </c>
      <c r="I10" s="19">
        <v>165000</v>
      </c>
    </row>
    <row r="11" spans="2:9" x14ac:dyDescent="0.3">
      <c r="B11" s="16">
        <v>2513005</v>
      </c>
      <c r="C11" s="16" t="s">
        <v>38</v>
      </c>
      <c r="D11" s="16" t="s">
        <v>48</v>
      </c>
      <c r="E11" s="16" t="s">
        <v>46</v>
      </c>
      <c r="G11" s="17" t="s">
        <v>19</v>
      </c>
      <c r="H11" s="18" t="s">
        <v>63</v>
      </c>
      <c r="I11" s="19">
        <v>185000</v>
      </c>
    </row>
    <row r="12" spans="2:9" x14ac:dyDescent="0.3">
      <c r="B12" s="11" t="s">
        <v>74</v>
      </c>
      <c r="C12" s="11" t="s">
        <v>73</v>
      </c>
      <c r="D12" s="16" t="s">
        <v>45</v>
      </c>
      <c r="E12" s="16" t="s">
        <v>47</v>
      </c>
      <c r="G12" s="17" t="s">
        <v>20</v>
      </c>
      <c r="H12" s="18" t="s">
        <v>64</v>
      </c>
      <c r="I12" s="19">
        <v>825000</v>
      </c>
    </row>
    <row r="13" spans="2:9" x14ac:dyDescent="0.3">
      <c r="G13" s="17" t="s">
        <v>53</v>
      </c>
      <c r="H13" s="18" t="s">
        <v>65</v>
      </c>
      <c r="I13" s="19">
        <v>495000</v>
      </c>
    </row>
    <row r="14" spans="2:9" ht="18" x14ac:dyDescent="0.35">
      <c r="B14" s="20"/>
      <c r="C14" s="21"/>
      <c r="D14" s="21"/>
      <c r="E14" s="21"/>
      <c r="G14" s="17" t="s">
        <v>54</v>
      </c>
      <c r="H14" s="18" t="s">
        <v>66</v>
      </c>
      <c r="I14" s="19">
        <v>1950000</v>
      </c>
    </row>
    <row r="15" spans="2:9" x14ac:dyDescent="0.3">
      <c r="G15" s="17" t="s">
        <v>21</v>
      </c>
      <c r="H15" s="18" t="s">
        <v>55</v>
      </c>
      <c r="I15" s="19">
        <v>6750000</v>
      </c>
    </row>
    <row r="16" spans="2:9" x14ac:dyDescent="0.3">
      <c r="G16" s="17" t="s">
        <v>22</v>
      </c>
      <c r="H16" s="18" t="s">
        <v>67</v>
      </c>
      <c r="I16" s="19">
        <v>2650000</v>
      </c>
    </row>
    <row r="17" spans="7:9" x14ac:dyDescent="0.3">
      <c r="G17" s="17" t="s">
        <v>23</v>
      </c>
      <c r="H17" s="18" t="s">
        <v>68</v>
      </c>
      <c r="I17" s="19">
        <v>520000</v>
      </c>
    </row>
    <row r="18" spans="7:9" x14ac:dyDescent="0.3">
      <c r="G18" s="17" t="s">
        <v>24</v>
      </c>
      <c r="H18" s="18" t="s">
        <v>69</v>
      </c>
      <c r="I18" s="19">
        <v>3850000</v>
      </c>
    </row>
    <row r="19" spans="7:9" x14ac:dyDescent="0.3">
      <c r="G19" s="17" t="s">
        <v>27</v>
      </c>
      <c r="H19" s="18" t="s">
        <v>70</v>
      </c>
      <c r="I19" s="19">
        <v>1480000</v>
      </c>
    </row>
    <row r="20" spans="7:9" x14ac:dyDescent="0.3">
      <c r="G20" s="17" t="s">
        <v>56</v>
      </c>
      <c r="H20" s="18" t="s">
        <v>57</v>
      </c>
      <c r="I20" s="19">
        <v>2950000</v>
      </c>
    </row>
    <row r="21" spans="7:9" x14ac:dyDescent="0.3">
      <c r="G21" s="17" t="s">
        <v>25</v>
      </c>
      <c r="H21" s="18" t="s">
        <v>71</v>
      </c>
      <c r="I21" s="19">
        <v>5950000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Deskripsi</vt:lpstr>
      <vt:lpstr>Laporan Penjualan</vt:lpstr>
      <vt:lpstr>Tabel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MTI Canduang</dc:creator>
  <cp:lastModifiedBy>MTI Canduang</cp:lastModifiedBy>
  <dcterms:created xsi:type="dcterms:W3CDTF">2025-12-15T16:28:25Z</dcterms:created>
  <dcterms:modified xsi:type="dcterms:W3CDTF">2025-12-15T18:41:01Z</dcterms:modified>
</cp:coreProperties>
</file>