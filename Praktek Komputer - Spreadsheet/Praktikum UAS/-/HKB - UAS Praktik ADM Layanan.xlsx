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 Labs\OpenLearning\Praktek Komputer - Spreadsheet\Praktikum UAS\"/>
    </mc:Choice>
  </mc:AlternateContent>
  <xr:revisionPtr revIDLastSave="0" documentId="13_ncr:1_{4358379F-718F-4453-AEE8-17343B4C613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skripsi &amp; Petunjuk" sheetId="4" r:id="rId1"/>
    <sheet name="Laporan Administrasi" sheetId="2" r:id="rId2"/>
    <sheet name="Tabel Referensi" sheetId="3" r:id="rId3"/>
  </sheets>
  <calcPr calcId="191029"/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</calcChain>
</file>

<file path=xl/sharedStrings.xml><?xml version="1.0" encoding="utf-8"?>
<sst xmlns="http://schemas.openxmlformats.org/spreadsheetml/2006/main" count="142" uniqueCount="106">
  <si>
    <t>UJIAN AKHIR SEMESTER – PRAKTIK KOMPUTER (EXCEL)</t>
  </si>
  <si>
    <t>Program Studi : Hukum Keluarga Islam</t>
  </si>
  <si>
    <t>Deskripsi Kasus:</t>
  </si>
  <si>
    <t>No</t>
  </si>
  <si>
    <t>Jenis Layanan</t>
  </si>
  <si>
    <t>Kode Petugas</t>
  </si>
  <si>
    <t>Nama Petugas</t>
  </si>
  <si>
    <t>Status Kepegawaian</t>
  </si>
  <si>
    <t>Status Perkawinan</t>
  </si>
  <si>
    <t>TABEL LAYANAN HUKUM KELUARGA ISLAM</t>
  </si>
  <si>
    <t>Biaya (Rp)</t>
  </si>
  <si>
    <t>TABEL PETUGAS LAYANAN</t>
  </si>
  <si>
    <t>Ahmad Syahputra</t>
  </si>
  <si>
    <t>Tetap</t>
  </si>
  <si>
    <t>Kawin</t>
  </si>
  <si>
    <t>Rizki Anugrah Pratama</t>
  </si>
  <si>
    <t>Honor</t>
  </si>
  <si>
    <t>Fahmi Alfarizi</t>
  </si>
  <si>
    <t>Tidak Kawin</t>
  </si>
  <si>
    <t>Hafiz Nurrahman</t>
  </si>
  <si>
    <t>Nabil Fadhlullah</t>
  </si>
  <si>
    <t>Insentif Layanan</t>
  </si>
  <si>
    <t>Bonus Kinerja</t>
  </si>
  <si>
    <t>Tunjangan Keluarga</t>
  </si>
  <si>
    <t>Tabungan Wajib</t>
  </si>
  <si>
    <t>3% dari Bonus</t>
  </si>
  <si>
    <t>Total Hak</t>
  </si>
  <si>
    <t>Total = Insentif + Bonus + Tunjangan – Tabungan</t>
  </si>
  <si>
    <t>Kode Layanan</t>
  </si>
  <si>
    <t>ATURAN PERHITUNGAN</t>
  </si>
  <si>
    <t>Nim Anda</t>
  </si>
  <si>
    <t>Nama Lengkap Anda</t>
  </si>
  <si>
    <t>Biaya Layanan(Rp)</t>
  </si>
  <si>
    <t>Status</t>
  </si>
  <si>
    <t>Kepegawaian</t>
  </si>
  <si>
    <t>Perkawinan</t>
  </si>
  <si>
    <t>Jumlah Data</t>
  </si>
  <si>
    <t>Jumlah Total (Rp)</t>
  </si>
  <si>
    <r>
      <t xml:space="preserve">Sebuah </t>
    </r>
    <r>
      <rPr>
        <b/>
        <sz val="12"/>
        <color theme="1"/>
        <rFont val="Calibri"/>
        <family val="2"/>
        <scheme val="minor"/>
      </rPr>
      <t>Unit Layanan Administrasi Hukum Keluarga Islam</t>
    </r>
    <r>
      <rPr>
        <sz val="12"/>
        <color theme="1"/>
        <rFont val="Calibri"/>
        <family val="2"/>
        <scheme val="minor"/>
      </rPr>
      <t xml:space="preserve"> melayani berbagai jenis administrasi perkara keluarga seperti pencatatan pernikahan, rujuk, konsultasi keluarga, dan pengelolaan dokumen waris.</t>
    </r>
  </si>
  <si>
    <r>
      <t xml:space="preserve">Setiap layanan memiliki </t>
    </r>
    <r>
      <rPr>
        <b/>
        <sz val="12"/>
        <color theme="1"/>
        <rFont val="Calibri"/>
        <family val="2"/>
        <scheme val="minor"/>
      </rPr>
      <t>kode layanan (HKD)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biaya administrasi</t>
    </r>
    <r>
     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 status perkawinan yang berbeda.</t>
    </r>
  </si>
  <si>
    <r>
      <t xml:space="preserve">Unit menerapkan sistem perhitungan </t>
    </r>
    <r>
      <rPr>
        <b/>
        <sz val="12"/>
        <color theme="1"/>
        <rFont val="Calibri"/>
        <family val="2"/>
        <scheme val="minor"/>
      </rPr>
      <t>insentif layanan, bonus kinerja, tunjangan keluarga, dan tabungan wajib</t>
    </r>
    <r>
      <rPr>
        <sz val="12"/>
        <color theme="1"/>
        <rFont val="Calibri"/>
        <family val="2"/>
        <scheme val="minor"/>
      </rPr>
      <t xml:space="preserve"> berdasarkan ketentuan yang berlaku.</t>
    </r>
  </si>
  <si>
    <r>
      <t xml:space="preserve">Mahasiswa diminta untuk melengkapi laporan administrasi tersebut menggunakan </t>
    </r>
    <r>
      <rPr>
        <b/>
        <sz val="12"/>
        <color theme="1"/>
        <rFont val="Calibri"/>
        <family val="2"/>
        <scheme val="minor"/>
      </rPr>
      <t>rumus Microsoft Excel</t>
    </r>
    <r>
      <rPr>
        <sz val="12"/>
        <color theme="1"/>
        <rFont val="Calibri"/>
        <family val="2"/>
        <scheme val="minor"/>
      </rPr>
      <t>, sesuai dengan data referensi yang disediakan.</t>
    </r>
  </si>
  <si>
    <r>
      <rPr>
        <b/>
        <sz val="12"/>
        <color theme="1"/>
        <rFont val="Calibri"/>
        <family val="2"/>
        <scheme val="minor"/>
      </rPr>
      <t xml:space="preserve">Studi Kasus : </t>
    </r>
    <r>
      <rPr>
        <sz val="12"/>
        <color theme="1"/>
        <rFont val="Calibri"/>
        <family val="2"/>
        <scheme val="minor"/>
      </rPr>
      <t>Laporan Administrasi Layanan Hukum Keluarga Islam</t>
    </r>
  </si>
  <si>
    <t>NIM</t>
  </si>
  <si>
    <t>NAMA</t>
  </si>
  <si>
    <t>JURUSAN</t>
  </si>
  <si>
    <t>Hukum Keluarga Islam (Ahwal Syakhshiyyah)</t>
  </si>
  <si>
    <t>Layanan</t>
  </si>
  <si>
    <t>Petugas</t>
  </si>
  <si>
    <t>Insentif (Rp)</t>
  </si>
  <si>
    <t>Bonus (Rp)</t>
  </si>
  <si>
    <t>Tunjangan (Rp)</t>
  </si>
  <si>
    <t>Tabungan (Rp)</t>
  </si>
  <si>
    <t>Laporan Administrasi</t>
  </si>
  <si>
    <t xml:space="preserve"> Layanan Keluarga Islam</t>
  </si>
  <si>
    <t>Nilai Tertinggi (Rp)</t>
  </si>
  <si>
    <t>Nilai Terendah (Rp)</t>
  </si>
  <si>
    <t>Nilai Rata-rata (Rp)</t>
  </si>
  <si>
    <t>NIM Anda</t>
  </si>
  <si>
    <t>REKAP TOTAL HAK PETUGAS PERORANGAN</t>
  </si>
  <si>
    <t>Total  (Rp)</t>
  </si>
  <si>
    <t>Total Pendapatan (Rp)</t>
  </si>
  <si>
    <t>HKB003</t>
  </si>
  <si>
    <t>HKB011</t>
  </si>
  <si>
    <t>HKB007</t>
  </si>
  <si>
    <t>HKB014</t>
  </si>
  <si>
    <t>HKB001</t>
  </si>
  <si>
    <t>HKB009</t>
  </si>
  <si>
    <t>HKB005</t>
  </si>
  <si>
    <t>HKB012</t>
  </si>
  <si>
    <t>HKB004</t>
  </si>
  <si>
    <t>HKB015</t>
  </si>
  <si>
    <t>HKB006</t>
  </si>
  <si>
    <t>HKB010</t>
  </si>
  <si>
    <t>HKB002</t>
  </si>
  <si>
    <t>HKB013</t>
  </si>
  <si>
    <t>HKB008</t>
  </si>
  <si>
    <t>Ahmad Fauzi Ramadhan</t>
  </si>
  <si>
    <t>Rizky Adi Prasetya</t>
  </si>
  <si>
    <t>Fahmi Nurhidayat</t>
  </si>
  <si>
    <t>Hafizh Akmal Firdaus</t>
  </si>
  <si>
    <t>Nabil Arkan Syahreza</t>
  </si>
  <si>
    <t>Registrasi Perkara Nikah</t>
  </si>
  <si>
    <t>Administrasi Rujuk Suami Istri</t>
  </si>
  <si>
    <t>Konseling Rumah Tangga Islami</t>
  </si>
  <si>
    <t>Pengurusan Hak Waris Keluarga</t>
  </si>
  <si>
    <t>Bimbingan Calon Pengantin</t>
  </si>
  <si>
    <t>Isbat Nikah di Pengadilan Agama</t>
  </si>
  <si>
    <t>Mediasi Sengketa Keluarga</t>
  </si>
  <si>
    <t>Penerbitan Surat Nikah</t>
  </si>
  <si>
    <t>Pendampingan Sengketa Waris</t>
  </si>
  <si>
    <t>Digitalisasi Arsip Nikah</t>
  </si>
  <si>
    <t>Pencetakan Salinan Akta Nikah</t>
  </si>
  <si>
    <t>Verifikasi Administrasi Keluarga</t>
  </si>
  <si>
    <t>Administrasi Gugatan Perceraian</t>
  </si>
  <si>
    <t>Konsultasi Hadhanah Anak</t>
  </si>
  <si>
    <t>Bantuan Hukum Keluarga Islam</t>
  </si>
  <si>
    <r>
      <t xml:space="preserve">Berakhiran </t>
    </r>
    <r>
      <rPr>
        <b/>
        <sz val="11"/>
        <color theme="0"/>
        <rFont val="Calibri"/>
        <family val="2"/>
        <scheme val="minor"/>
      </rPr>
      <t>05 → 15% biaya layanan</t>
    </r>
  </si>
  <si>
    <r>
      <t xml:space="preserve">Berakhiran </t>
    </r>
    <r>
      <rPr>
        <b/>
        <sz val="11"/>
        <color theme="0"/>
        <rFont val="Calibri"/>
        <family val="2"/>
        <scheme val="minor"/>
      </rPr>
      <t>07 → 7% biaya layanan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</si>
  <si>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1% biaya layanan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</si>
  <si>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</t>
    </r>
    <r>
      <rPr>
        <sz val="11"/>
        <color theme="0"/>
        <rFont val="Calibri"/>
        <family val="2"/>
        <scheme val="minor"/>
      </rPr>
      <t xml:space="preserve"> → Rp1.200.000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</si>
  <si>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Honor</t>
    </r>
    <r>
      <rPr>
        <sz val="11"/>
        <color theme="0"/>
        <rFont val="Calibri"/>
        <family val="2"/>
        <scheme val="minor"/>
      </rPr>
      <t xml:space="preserve"> → Rp800.000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</si>
  <si>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 ATAU Status Perkawinan Kawin</t>
    </r>
  </si>
  <si>
    <r>
      <t xml:space="preserve">→ </t>
    </r>
    <r>
      <rPr>
        <b/>
        <sz val="11"/>
        <color theme="0"/>
        <rFont val="Calibri"/>
        <family val="2"/>
        <scheme val="minor"/>
      </rPr>
      <t>35% dari Insentif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</si>
  <si>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20% dari Insentif</t>
    </r>
  </si>
  <si>
    <r>
      <t xml:space="preserve">Kode HKB berakhiran </t>
    </r>
    <r>
      <rPr>
        <b/>
        <sz val="11"/>
        <color theme="0"/>
        <rFont val="Calibri"/>
        <family val="2"/>
        <scheme val="minor"/>
      </rPr>
      <t>01 → 10% biaya layanan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</si>
</sst>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008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4" borderId="0" xfId="0" applyFont="1" applyFill="1"/>
    <xf numFmtId="0" fontId="5" fillId="4" borderId="0" xfId="0" applyFont="1" applyFill="1" applyAlignment="1">
      <alignment vertical="center"/>
    </xf>
    <xf numFmtId="0" fontId="6" fillId="4" borderId="0" xfId="0" applyFont="1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5" borderId="1" xfId="0" applyFont="1" applyFill="1" applyBorder="1"/>
    <xf numFmtId="0" fontId="7" fillId="2" borderId="0" xfId="0" applyFont="1" applyFill="1"/>
    <xf numFmtId="0" fontId="2" fillId="0" borderId="0" xfId="0" applyFont="1"/>
    <xf numFmtId="0" fontId="10" fillId="2" borderId="0" xfId="0" applyFont="1" applyFill="1"/>
    <xf numFmtId="0" fontId="8" fillId="2" borderId="0" xfId="0" applyFont="1" applyFill="1" applyAlignment="1">
      <alignment vertical="center"/>
    </xf>
    <xf numFmtId="0" fontId="11" fillId="6" borderId="0" xfId="0" applyFont="1" applyFill="1"/>
    <xf numFmtId="0" fontId="12" fillId="6" borderId="0" xfId="0" applyFont="1" applyFill="1"/>
    <xf numFmtId="0" fontId="8" fillId="2" borderId="0" xfId="0" applyFont="1" applyFill="1"/>
    <xf numFmtId="0" fontId="9" fillId="2" borderId="0" xfId="0" applyFont="1" applyFill="1"/>
    <xf numFmtId="0" fontId="7" fillId="2" borderId="7" xfId="0" applyFont="1" applyFill="1" applyBorder="1"/>
    <xf numFmtId="0" fontId="5" fillId="6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" fillId="8" borderId="1" xfId="0" applyFont="1" applyFill="1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8" fillId="7" borderId="9" xfId="0" applyFont="1" applyFill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/>
    <xf numFmtId="0" fontId="8" fillId="7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5" fillId="5" borderId="1" xfId="0" applyFont="1" applyFill="1" applyBorder="1" applyAlignment="1">
      <alignment horizontal="left"/>
    </xf>
    <xf numFmtId="164" fontId="15" fillId="5" borderId="1" xfId="0" applyNumberFormat="1" applyFont="1" applyFill="1" applyBorder="1" applyAlignment="1">
      <alignment horizontal="left"/>
    </xf>
    <xf numFmtId="0" fontId="8" fillId="2" borderId="8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0" fillId="6" borderId="0" xfId="0" applyFill="1"/>
    <xf numFmtId="0" fontId="3" fillId="6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vertical="center"/>
    </xf>
    <xf numFmtId="0" fontId="8" fillId="3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8" fillId="7" borderId="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579120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9D015-A2AD-525A-2D2F-D3B3D352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0"/>
          <a:ext cx="2377440" cy="237744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14</xdr:row>
      <xdr:rowOff>15240</xdr:rowOff>
    </xdr:from>
    <xdr:to>
      <xdr:col>10</xdr:col>
      <xdr:colOff>548640</xdr:colOff>
      <xdr:row>17</xdr:row>
      <xdr:rowOff>83820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6A6142BD-44CB-4571-951B-0460EC18BF40}"/>
            </a:ext>
          </a:extLst>
        </xdr:cNvPr>
        <xdr:cNvSpPr/>
      </xdr:nvSpPr>
      <xdr:spPr>
        <a:xfrm>
          <a:off x="6675120" y="3070860"/>
          <a:ext cx="1790700" cy="693420"/>
        </a:xfrm>
        <a:prstGeom prst="wedgeEllipseCallout">
          <a:avLst>
            <a:gd name="adj1" fmla="val -62601"/>
            <a:gd name="adj2" fmla="val -81456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Sebelum</a:t>
          </a:r>
          <a:r>
            <a:rPr lang="en-US" sz="1100" baseline="0"/>
            <a:t> lanjut, yuk isi identitas disini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498566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4F17E-84F8-4C33-8442-7F7E4C40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8</xdr:col>
      <xdr:colOff>794656</xdr:colOff>
      <xdr:row>33</xdr:row>
      <xdr:rowOff>119743</xdr:rowOff>
    </xdr:from>
    <xdr:to>
      <xdr:col>12</xdr:col>
      <xdr:colOff>1295399</xdr:colOff>
      <xdr:row>37</xdr:row>
      <xdr:rowOff>152400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61483A9A-B16B-A45F-6B5E-850D1703E621}"/>
            </a:ext>
          </a:extLst>
        </xdr:cNvPr>
        <xdr:cNvSpPr/>
      </xdr:nvSpPr>
      <xdr:spPr>
        <a:xfrm>
          <a:off x="9372599" y="6836229"/>
          <a:ext cx="4234543" cy="816428"/>
        </a:xfrm>
        <a:prstGeom prst="wedgeEllipseCallout">
          <a:avLst>
            <a:gd name="adj1" fmla="val -48854"/>
            <a:gd name="adj2" fmla="val 73161"/>
          </a:avLst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Isi kolom berwarna merah dengan NIM anda masing-masing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43F-3B52-4DA5-93EB-5BE367AA3F24}">
  <dimension ref="C1:U19"/>
  <sheetViews>
    <sheetView workbookViewId="0">
      <selection activeCell="L18" sqref="L18"/>
    </sheetView>
  </sheetViews>
  <sheetFormatPr defaultRowHeight="14.4"/>
  <cols>
    <col min="1" max="4" width="8.88671875" style="2"/>
    <col min="5" max="5" width="17.88671875" style="2" customWidth="1"/>
    <col min="6" max="6" width="8.88671875" style="2"/>
    <col min="7" max="7" width="35.44140625" style="2" customWidth="1"/>
    <col min="8" max="16384" width="8.88671875" style="2"/>
  </cols>
  <sheetData>
    <row r="1" spans="3:21" ht="21">
      <c r="C1" s="15"/>
      <c r="D1" s="15"/>
      <c r="E1" s="15"/>
      <c r="F1" s="15"/>
      <c r="G1" s="15"/>
      <c r="H1" s="15"/>
      <c r="I1" s="15"/>
      <c r="J1" s="15"/>
      <c r="K1" s="15"/>
    </row>
    <row r="2" spans="3:21" ht="21">
      <c r="E2" s="17" t="s">
        <v>0</v>
      </c>
      <c r="F2" s="17"/>
      <c r="G2" s="17"/>
      <c r="H2" s="17"/>
      <c r="I2" s="17"/>
      <c r="J2" s="17"/>
      <c r="K2" s="18"/>
      <c r="L2" s="18"/>
      <c r="M2" s="15"/>
    </row>
    <row r="3" spans="3:21" ht="21">
      <c r="E3" s="15" t="s">
        <v>1</v>
      </c>
      <c r="F3" s="15"/>
      <c r="G3" s="15"/>
      <c r="H3" s="15"/>
      <c r="I3" s="15"/>
      <c r="J3" s="15"/>
      <c r="K3" s="15"/>
      <c r="L3" s="15"/>
      <c r="M3" s="15"/>
    </row>
    <row r="4" spans="3:21" ht="15.6">
      <c r="E4" s="7" t="s">
        <v>42</v>
      </c>
    </row>
    <row r="7" spans="3:21" ht="24" customHeight="1">
      <c r="E7" s="16" t="s">
        <v>2</v>
      </c>
    </row>
    <row r="8" spans="3:21" ht="15.6">
      <c r="E8" s="13" t="s">
        <v>38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3:21" ht="15.6">
      <c r="E9" s="13" t="s">
        <v>39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3:21" ht="15.6">
      <c r="E10" s="13" t="s">
        <v>40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3:21" ht="15.6">
      <c r="E11" s="13" t="s">
        <v>41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4" spans="3:21" ht="18">
      <c r="E14" s="21" t="s">
        <v>43</v>
      </c>
      <c r="F14" s="53"/>
      <c r="G14" s="53"/>
      <c r="H14" s="13"/>
      <c r="I14" s="19"/>
      <c r="J14" s="20"/>
      <c r="K14" s="20"/>
      <c r="L14" s="20"/>
    </row>
    <row r="15" spans="3:21" ht="18">
      <c r="E15" s="21" t="s">
        <v>44</v>
      </c>
      <c r="F15" s="53"/>
      <c r="G15" s="53"/>
      <c r="H15" s="13"/>
      <c r="I15" s="13"/>
      <c r="J15" s="20"/>
      <c r="K15" s="20"/>
      <c r="L15" s="20"/>
    </row>
    <row r="16" spans="3:21" ht="15.6">
      <c r="E16" s="21" t="s">
        <v>45</v>
      </c>
      <c r="F16" s="54" t="s">
        <v>46</v>
      </c>
      <c r="G16" s="54"/>
      <c r="H16" s="13"/>
      <c r="I16" s="13"/>
      <c r="J16" s="13"/>
      <c r="K16" s="13"/>
      <c r="L16" s="13"/>
    </row>
    <row r="17" spans="5:12" ht="15.6">
      <c r="E17" s="13"/>
      <c r="F17" s="13"/>
      <c r="G17" s="13"/>
      <c r="H17" s="13"/>
      <c r="I17" s="13"/>
      <c r="J17" s="13"/>
      <c r="K17" s="13"/>
      <c r="L17" s="13"/>
    </row>
    <row r="18" spans="5:12" ht="15.6">
      <c r="E18" s="13"/>
      <c r="F18" s="13"/>
      <c r="G18" s="13"/>
      <c r="H18" s="13"/>
      <c r="I18" s="13"/>
      <c r="J18" s="13"/>
      <c r="K18" s="13"/>
      <c r="L18" s="13"/>
    </row>
    <row r="19" spans="5:12" ht="15.6">
      <c r="E19" s="13"/>
      <c r="F19" s="13"/>
      <c r="G19" s="13"/>
      <c r="H19" s="13"/>
      <c r="I19" s="13"/>
      <c r="J19" s="13"/>
      <c r="K19" s="13"/>
      <c r="L19" s="13"/>
    </row>
  </sheetData>
  <mergeCells count="3">
    <mergeCell ref="F14:G14"/>
    <mergeCell ref="F15:G15"/>
    <mergeCell ref="F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tabSelected="1" zoomScale="120" zoomScaleNormal="120" workbookViewId="0">
      <selection activeCell="I9" sqref="I9"/>
    </sheetView>
  </sheetViews>
  <sheetFormatPr defaultRowHeight="14.4"/>
  <cols>
    <col min="1" max="1" width="6.6640625" style="6" customWidth="1"/>
    <col min="2" max="2" width="14.5546875" bestFit="1" customWidth="1"/>
    <col min="3" max="3" width="31.109375" bestFit="1" customWidth="1"/>
    <col min="4" max="4" width="18.5546875" bestFit="1" customWidth="1"/>
    <col min="5" max="5" width="13.88671875" style="6" customWidth="1"/>
    <col min="6" max="6" width="14.5546875" bestFit="1" customWidth="1"/>
    <col min="7" max="7" width="13.5546875" bestFit="1" customWidth="1"/>
    <col min="8" max="8" width="12.109375" bestFit="1" customWidth="1"/>
    <col min="9" max="9" width="12.44140625" bestFit="1" customWidth="1"/>
    <col min="10" max="10" width="11.33203125" bestFit="1" customWidth="1"/>
    <col min="11" max="11" width="15.6640625" bestFit="1" customWidth="1"/>
    <col min="12" max="12" width="15" bestFit="1" customWidth="1"/>
    <col min="13" max="13" width="18.88671875" customWidth="1"/>
    <col min="14" max="14" width="12.109375" customWidth="1"/>
    <col min="15" max="15" width="25.109375" customWidth="1"/>
    <col min="16" max="16" width="26.6640625" customWidth="1"/>
    <col min="17" max="17" width="26.33203125" customWidth="1"/>
  </cols>
  <sheetData>
    <row r="1" spans="1:17">
      <c r="A1" s="24"/>
      <c r="B1" s="25"/>
      <c r="C1" s="26"/>
      <c r="D1" s="25"/>
      <c r="E1" s="24"/>
      <c r="F1" s="25"/>
      <c r="G1" s="25"/>
      <c r="H1" s="25"/>
      <c r="I1" s="25"/>
      <c r="J1" s="25"/>
      <c r="K1" s="25"/>
      <c r="L1" s="25"/>
      <c r="M1" s="25"/>
    </row>
    <row r="2" spans="1:17" ht="23.4">
      <c r="A2" s="24"/>
      <c r="B2" s="25"/>
      <c r="C2" s="27" t="s">
        <v>53</v>
      </c>
      <c r="D2" s="26"/>
      <c r="E2" s="24"/>
      <c r="F2" s="25"/>
      <c r="G2" s="25"/>
      <c r="H2" s="25"/>
      <c r="I2" s="25"/>
      <c r="J2" s="25"/>
      <c r="K2" s="25"/>
      <c r="L2" s="25"/>
      <c r="M2" s="25"/>
    </row>
    <row r="3" spans="1:17">
      <c r="A3" s="24"/>
      <c r="B3" s="25"/>
      <c r="C3" s="26" t="s">
        <v>54</v>
      </c>
      <c r="D3" s="25"/>
      <c r="E3" s="24"/>
      <c r="F3" s="25"/>
      <c r="G3" s="25"/>
      <c r="H3" s="25"/>
      <c r="I3" s="25"/>
      <c r="J3" s="25"/>
      <c r="K3" s="25"/>
      <c r="L3" s="25"/>
      <c r="M3" s="25"/>
    </row>
    <row r="4" spans="1:17">
      <c r="A4" s="24"/>
      <c r="B4" s="25"/>
      <c r="C4" s="26"/>
      <c r="D4" s="25"/>
      <c r="E4" s="24"/>
      <c r="F4" s="25"/>
      <c r="G4" s="25"/>
      <c r="H4" s="25"/>
      <c r="I4" s="25"/>
      <c r="J4" s="25"/>
      <c r="K4" s="25"/>
      <c r="L4" s="25"/>
      <c r="M4" s="25"/>
    </row>
    <row r="5" spans="1:17">
      <c r="A5" s="24"/>
      <c r="B5" s="25"/>
      <c r="C5" s="25"/>
      <c r="D5" s="25"/>
      <c r="E5" s="24"/>
      <c r="F5" s="25"/>
      <c r="G5" s="25"/>
      <c r="H5" s="25"/>
      <c r="I5" s="25"/>
      <c r="J5" s="25"/>
      <c r="K5" s="25"/>
      <c r="L5" s="25"/>
      <c r="M5" s="25"/>
    </row>
    <row r="6" spans="1:17" s="23" customFormat="1" ht="18" customHeight="1">
      <c r="A6" s="56" t="s">
        <v>3</v>
      </c>
      <c r="B6" s="56" t="s">
        <v>47</v>
      </c>
      <c r="C6" s="56"/>
      <c r="D6" s="56"/>
      <c r="E6" s="56" t="s">
        <v>48</v>
      </c>
      <c r="F6" s="56"/>
      <c r="G6" s="62" t="s">
        <v>33</v>
      </c>
      <c r="H6" s="63"/>
      <c r="I6" s="56" t="s">
        <v>49</v>
      </c>
      <c r="J6" s="56" t="s">
        <v>50</v>
      </c>
      <c r="K6" s="56" t="s">
        <v>51</v>
      </c>
      <c r="L6" s="56" t="s">
        <v>52</v>
      </c>
      <c r="M6" s="56" t="s">
        <v>60</v>
      </c>
      <c r="O6" s="58" t="s">
        <v>29</v>
      </c>
      <c r="P6" s="58"/>
      <c r="Q6" s="58"/>
    </row>
    <row r="7" spans="1:17" s="23" customFormat="1" ht="25.8" customHeight="1" thickBot="1">
      <c r="A7" s="57"/>
      <c r="B7" s="31" t="s">
        <v>28</v>
      </c>
      <c r="C7" s="31" t="s">
        <v>4</v>
      </c>
      <c r="D7" s="31" t="s">
        <v>32</v>
      </c>
      <c r="E7" s="37" t="s">
        <v>5</v>
      </c>
      <c r="F7" s="31" t="s">
        <v>6</v>
      </c>
      <c r="G7" s="31" t="s">
        <v>34</v>
      </c>
      <c r="H7" s="31" t="s">
        <v>35</v>
      </c>
      <c r="I7" s="57"/>
      <c r="J7" s="57"/>
      <c r="K7" s="57"/>
      <c r="L7" s="57"/>
      <c r="M7" s="57"/>
      <c r="O7" s="58"/>
      <c r="P7" s="58"/>
      <c r="Q7" s="58"/>
    </row>
    <row r="8" spans="1:17" ht="16.2" thickTop="1">
      <c r="A8" s="32">
        <v>1</v>
      </c>
      <c r="B8" s="33" t="s">
        <v>62</v>
      </c>
      <c r="C8" s="33"/>
      <c r="D8" s="33"/>
      <c r="E8" s="32">
        <v>2516001</v>
      </c>
      <c r="F8" s="33"/>
      <c r="G8" s="33"/>
      <c r="H8" s="33"/>
      <c r="I8" s="33"/>
      <c r="J8" s="33"/>
      <c r="K8" s="33"/>
      <c r="L8" s="33"/>
      <c r="M8" s="33"/>
      <c r="O8" s="49"/>
      <c r="P8" s="49"/>
      <c r="Q8" s="49"/>
    </row>
    <row r="9" spans="1:17" ht="15.6">
      <c r="A9" s="34">
        <v>2</v>
      </c>
      <c r="B9" s="8" t="s">
        <v>63</v>
      </c>
      <c r="C9" s="8"/>
      <c r="D9" s="8"/>
      <c r="E9" s="34">
        <v>2516002</v>
      </c>
      <c r="F9" s="8"/>
      <c r="G9" s="8"/>
      <c r="H9" s="8"/>
      <c r="I9" s="33" t="b">
        <f t="shared" ref="I9:I27" si="0">IF(RIGHT(B9,2)="01",D9*10%)</f>
        <v>0</v>
      </c>
      <c r="J9" s="8"/>
      <c r="K9" s="8"/>
      <c r="L9" s="8"/>
      <c r="M9" s="8"/>
      <c r="O9" s="4" t="s">
        <v>21</v>
      </c>
      <c r="P9" s="5"/>
      <c r="Q9" s="5"/>
    </row>
    <row r="10" spans="1:17" ht="15.6">
      <c r="A10" s="34">
        <v>3</v>
      </c>
      <c r="B10" s="8" t="s">
        <v>64</v>
      </c>
      <c r="C10" s="8"/>
      <c r="D10" s="8"/>
      <c r="E10" s="34">
        <v>2516003</v>
      </c>
      <c r="F10" s="8"/>
      <c r="G10" s="8"/>
      <c r="H10" s="8"/>
      <c r="I10" s="33" t="b">
        <f t="shared" si="0"/>
        <v>0</v>
      </c>
      <c r="J10" s="8"/>
      <c r="K10" s="8"/>
      <c r="L10" s="8"/>
      <c r="M10" s="8"/>
      <c r="O10" s="50" t="s">
        <v>105</v>
      </c>
      <c r="P10" s="49"/>
      <c r="Q10" s="49"/>
    </row>
    <row r="11" spans="1:17" ht="15.6">
      <c r="A11" s="34">
        <v>4</v>
      </c>
      <c r="B11" s="8" t="s">
        <v>65</v>
      </c>
      <c r="C11" s="8"/>
      <c r="D11" s="8"/>
      <c r="E11" s="34">
        <v>2516004</v>
      </c>
      <c r="F11" s="8"/>
      <c r="G11" s="8"/>
      <c r="H11" s="8"/>
      <c r="I11" s="33" t="b">
        <f t="shared" si="0"/>
        <v>0</v>
      </c>
      <c r="J11" s="8"/>
      <c r="K11" s="8"/>
      <c r="L11" s="8"/>
      <c r="M11" s="8"/>
      <c r="O11" s="50" t="s">
        <v>97</v>
      </c>
      <c r="P11" s="49"/>
      <c r="Q11" s="49"/>
    </row>
    <row r="12" spans="1:17" ht="15.6">
      <c r="A12" s="34">
        <v>5</v>
      </c>
      <c r="B12" s="8" t="s">
        <v>66</v>
      </c>
      <c r="C12" s="8"/>
      <c r="D12" s="8"/>
      <c r="E12" s="34">
        <v>2516005</v>
      </c>
      <c r="F12" s="8"/>
      <c r="G12" s="8"/>
      <c r="H12" s="8"/>
      <c r="I12" s="33">
        <f t="shared" si="0"/>
        <v>0</v>
      </c>
      <c r="J12" s="8"/>
      <c r="K12" s="8"/>
      <c r="L12" s="8"/>
      <c r="M12" s="8"/>
      <c r="O12" s="50" t="s">
        <v>98</v>
      </c>
      <c r="P12" s="49"/>
      <c r="Q12" s="49"/>
    </row>
    <row r="13" spans="1:17" ht="15.6">
      <c r="A13" s="34">
        <v>6</v>
      </c>
      <c r="B13" s="8" t="s">
        <v>67</v>
      </c>
      <c r="C13" s="8"/>
      <c r="D13" s="8"/>
      <c r="E13" s="48"/>
      <c r="F13" s="8"/>
      <c r="G13" s="8"/>
      <c r="H13" s="8"/>
      <c r="I13" s="33" t="b">
        <f t="shared" si="0"/>
        <v>0</v>
      </c>
      <c r="J13" s="8"/>
      <c r="K13" s="8"/>
      <c r="L13" s="8"/>
      <c r="M13" s="8"/>
      <c r="O13" s="50" t="s">
        <v>99</v>
      </c>
      <c r="P13" s="49"/>
      <c r="Q13" s="49"/>
    </row>
    <row r="14" spans="1:17" ht="15.6">
      <c r="A14" s="34">
        <v>7</v>
      </c>
      <c r="B14" s="8" t="s">
        <v>68</v>
      </c>
      <c r="C14" s="8"/>
      <c r="D14" s="8"/>
      <c r="E14" s="48"/>
      <c r="F14" s="8"/>
      <c r="G14" s="8"/>
      <c r="H14" s="8"/>
      <c r="I14" s="33" t="b">
        <f t="shared" si="0"/>
        <v>0</v>
      </c>
      <c r="J14" s="8"/>
      <c r="K14" s="8"/>
      <c r="L14" s="8"/>
      <c r="M14" s="8"/>
      <c r="O14" s="4" t="s">
        <v>22</v>
      </c>
      <c r="P14" s="5"/>
      <c r="Q14" s="5"/>
    </row>
    <row r="15" spans="1:17" ht="15.6">
      <c r="A15" s="34">
        <v>8</v>
      </c>
      <c r="B15" s="8" t="s">
        <v>69</v>
      </c>
      <c r="C15" s="8"/>
      <c r="D15" s="8"/>
      <c r="E15" s="48"/>
      <c r="F15" s="8"/>
      <c r="G15" s="8"/>
      <c r="H15" s="8"/>
      <c r="I15" s="33" t="b">
        <f t="shared" si="0"/>
        <v>0</v>
      </c>
      <c r="J15" s="8"/>
      <c r="K15" s="8"/>
      <c r="L15" s="8"/>
      <c r="M15" s="8"/>
      <c r="O15" s="50" t="s">
        <v>100</v>
      </c>
      <c r="P15" s="49"/>
      <c r="Q15" s="49"/>
    </row>
    <row r="16" spans="1:17" ht="15.6">
      <c r="A16" s="34">
        <v>9</v>
      </c>
      <c r="B16" s="8" t="s">
        <v>70</v>
      </c>
      <c r="C16" s="8"/>
      <c r="D16" s="8"/>
      <c r="E16" s="34">
        <v>2516001</v>
      </c>
      <c r="F16" s="8"/>
      <c r="G16" s="8"/>
      <c r="H16" s="8"/>
      <c r="I16" s="33" t="b">
        <f t="shared" si="0"/>
        <v>0</v>
      </c>
      <c r="J16" s="8"/>
      <c r="K16" s="8"/>
      <c r="L16" s="8"/>
      <c r="M16" s="8"/>
      <c r="O16" s="50" t="s">
        <v>101</v>
      </c>
      <c r="P16" s="49"/>
      <c r="Q16" s="49"/>
    </row>
    <row r="17" spans="1:17" ht="15.6">
      <c r="A17" s="34">
        <v>10</v>
      </c>
      <c r="B17" s="8" t="s">
        <v>71</v>
      </c>
      <c r="C17" s="8"/>
      <c r="D17" s="8"/>
      <c r="E17" s="34">
        <v>2516002</v>
      </c>
      <c r="F17" s="8"/>
      <c r="G17" s="8"/>
      <c r="H17" s="8"/>
      <c r="I17" s="33" t="b">
        <f t="shared" si="0"/>
        <v>0</v>
      </c>
      <c r="J17" s="8"/>
      <c r="K17" s="8"/>
      <c r="L17" s="8"/>
      <c r="M17" s="8"/>
      <c r="O17" s="4" t="s">
        <v>23</v>
      </c>
      <c r="P17" s="5"/>
      <c r="Q17" s="5"/>
    </row>
    <row r="18" spans="1:17" ht="15.6">
      <c r="A18" s="34">
        <v>11</v>
      </c>
      <c r="B18" s="8" t="s">
        <v>72</v>
      </c>
      <c r="C18" s="8"/>
      <c r="D18" s="8"/>
      <c r="E18" s="34">
        <v>2516003</v>
      </c>
      <c r="F18" s="8"/>
      <c r="G18" s="8"/>
      <c r="H18" s="8"/>
      <c r="I18" s="33" t="b">
        <f t="shared" si="0"/>
        <v>0</v>
      </c>
      <c r="J18" s="8"/>
      <c r="K18" s="8"/>
      <c r="L18" s="8"/>
      <c r="M18" s="8"/>
      <c r="O18" s="50" t="s">
        <v>102</v>
      </c>
      <c r="P18" s="49"/>
      <c r="Q18" s="49"/>
    </row>
    <row r="19" spans="1:17" ht="15.6">
      <c r="A19" s="34">
        <v>12</v>
      </c>
      <c r="B19" s="8" t="s">
        <v>73</v>
      </c>
      <c r="C19" s="8"/>
      <c r="D19" s="8"/>
      <c r="E19" s="34">
        <v>2516004</v>
      </c>
      <c r="F19" s="8"/>
      <c r="G19" s="8"/>
      <c r="H19" s="8"/>
      <c r="I19" s="33" t="b">
        <f t="shared" si="0"/>
        <v>0</v>
      </c>
      <c r="J19" s="8"/>
      <c r="K19" s="8"/>
      <c r="L19" s="8"/>
      <c r="M19" s="8"/>
      <c r="O19" s="50" t="s">
        <v>103</v>
      </c>
      <c r="P19" s="49"/>
      <c r="Q19" s="49"/>
    </row>
    <row r="20" spans="1:17" ht="15.6">
      <c r="A20" s="34">
        <v>13</v>
      </c>
      <c r="B20" s="8" t="s">
        <v>74</v>
      </c>
      <c r="C20" s="8"/>
      <c r="D20" s="8"/>
      <c r="E20" s="34">
        <v>2516005</v>
      </c>
      <c r="F20" s="8"/>
      <c r="G20" s="8"/>
      <c r="H20" s="8"/>
      <c r="I20" s="33" t="b">
        <f t="shared" si="0"/>
        <v>0</v>
      </c>
      <c r="J20" s="8"/>
      <c r="K20" s="8"/>
      <c r="L20" s="8"/>
      <c r="M20" s="8"/>
      <c r="O20" s="50" t="s">
        <v>104</v>
      </c>
      <c r="P20" s="49"/>
      <c r="Q20" s="49"/>
    </row>
    <row r="21" spans="1:17" ht="15.6">
      <c r="A21" s="34">
        <v>14</v>
      </c>
      <c r="B21" s="8" t="s">
        <v>75</v>
      </c>
      <c r="C21" s="8"/>
      <c r="D21" s="8"/>
      <c r="E21" s="34">
        <v>2516002</v>
      </c>
      <c r="F21" s="8"/>
      <c r="G21" s="8"/>
      <c r="H21" s="8"/>
      <c r="I21" s="33" t="b">
        <f t="shared" si="0"/>
        <v>0</v>
      </c>
      <c r="J21" s="8"/>
      <c r="K21" s="8"/>
      <c r="L21" s="8"/>
      <c r="M21" s="8"/>
      <c r="O21" s="4" t="s">
        <v>24</v>
      </c>
      <c r="P21" s="5"/>
      <c r="Q21" s="5"/>
    </row>
    <row r="22" spans="1:17" ht="15.6">
      <c r="A22" s="34">
        <v>15</v>
      </c>
      <c r="B22" s="8" t="s">
        <v>76</v>
      </c>
      <c r="C22" s="8"/>
      <c r="D22" s="8"/>
      <c r="E22" s="34">
        <v>2516005</v>
      </c>
      <c r="F22" s="8"/>
      <c r="G22" s="8"/>
      <c r="H22" s="8"/>
      <c r="I22" s="33" t="b">
        <f t="shared" si="0"/>
        <v>0</v>
      </c>
      <c r="J22" s="8"/>
      <c r="K22" s="8"/>
      <c r="L22" s="8"/>
      <c r="M22" s="8"/>
      <c r="O22" s="51" t="s">
        <v>25</v>
      </c>
      <c r="P22" s="49"/>
      <c r="Q22" s="49"/>
    </row>
    <row r="23" spans="1:17" ht="15.6">
      <c r="A23" s="34">
        <v>16</v>
      </c>
      <c r="B23" s="8" t="s">
        <v>63</v>
      </c>
      <c r="C23" s="8"/>
      <c r="D23" s="8"/>
      <c r="E23" s="34">
        <v>2516001</v>
      </c>
      <c r="F23" s="8"/>
      <c r="G23" s="8"/>
      <c r="H23" s="8"/>
      <c r="I23" s="33" t="b">
        <f t="shared" si="0"/>
        <v>0</v>
      </c>
      <c r="J23" s="8"/>
      <c r="K23" s="8"/>
      <c r="L23" s="8"/>
      <c r="M23" s="8"/>
      <c r="O23" s="4" t="s">
        <v>26</v>
      </c>
      <c r="P23" s="5"/>
      <c r="Q23" s="3"/>
    </row>
    <row r="24" spans="1:17" ht="15.6">
      <c r="A24" s="34">
        <v>17</v>
      </c>
      <c r="B24" s="8" t="s">
        <v>70</v>
      </c>
      <c r="C24" s="8"/>
      <c r="D24" s="8"/>
      <c r="E24" s="48"/>
      <c r="F24" s="8"/>
      <c r="G24" s="8"/>
      <c r="H24" s="8"/>
      <c r="I24" s="33" t="b">
        <f t="shared" si="0"/>
        <v>0</v>
      </c>
      <c r="J24" s="8"/>
      <c r="K24" s="8"/>
      <c r="L24" s="8"/>
      <c r="M24" s="8"/>
      <c r="O24" s="52" t="s">
        <v>27</v>
      </c>
      <c r="P24" s="49"/>
      <c r="Q24" s="49"/>
    </row>
    <row r="25" spans="1:17" ht="15.6">
      <c r="A25" s="34">
        <v>18</v>
      </c>
      <c r="B25" s="8" t="s">
        <v>64</v>
      </c>
      <c r="C25" s="8"/>
      <c r="D25" s="8"/>
      <c r="E25" s="48"/>
      <c r="F25" s="8"/>
      <c r="G25" s="8"/>
      <c r="H25" s="8"/>
      <c r="I25" s="33" t="b">
        <f t="shared" si="0"/>
        <v>0</v>
      </c>
      <c r="J25" s="8"/>
      <c r="K25" s="8"/>
      <c r="L25" s="8"/>
      <c r="M25" s="8"/>
      <c r="O25" s="49"/>
      <c r="P25" s="49"/>
      <c r="Q25" s="49"/>
    </row>
    <row r="26" spans="1:17" ht="15.6">
      <c r="A26" s="34">
        <v>19</v>
      </c>
      <c r="B26" s="8" t="s">
        <v>71</v>
      </c>
      <c r="C26" s="8"/>
      <c r="D26" s="8"/>
      <c r="E26" s="48"/>
      <c r="F26" s="8"/>
      <c r="G26" s="8"/>
      <c r="H26" s="8"/>
      <c r="I26" s="33" t="b">
        <f t="shared" si="0"/>
        <v>0</v>
      </c>
      <c r="J26" s="8"/>
      <c r="K26" s="8"/>
      <c r="L26" s="8"/>
      <c r="M26" s="8"/>
      <c r="O26" s="1"/>
    </row>
    <row r="27" spans="1:17" ht="16.2" thickBot="1">
      <c r="A27" s="35">
        <v>20</v>
      </c>
      <c r="B27" s="36" t="s">
        <v>66</v>
      </c>
      <c r="C27" s="36"/>
      <c r="D27" s="36">
        <v>200000</v>
      </c>
      <c r="E27" s="34">
        <v>2516003</v>
      </c>
      <c r="F27" s="36"/>
      <c r="G27" s="36"/>
      <c r="H27" s="36"/>
      <c r="I27" s="33">
        <f t="shared" si="0"/>
        <v>20000</v>
      </c>
      <c r="J27" s="36"/>
      <c r="K27" s="36"/>
      <c r="L27" s="36"/>
      <c r="M27" s="36"/>
      <c r="O27" s="14" t="s">
        <v>59</v>
      </c>
    </row>
    <row r="28" spans="1:17" ht="16.2" thickTop="1">
      <c r="A28" s="67" t="s">
        <v>37</v>
      </c>
      <c r="B28" s="67"/>
      <c r="C28" s="67"/>
      <c r="D28" s="64"/>
      <c r="E28" s="65"/>
      <c r="F28" s="65"/>
      <c r="G28" s="65"/>
      <c r="H28" s="66"/>
      <c r="I28" s="44"/>
      <c r="J28" s="44"/>
      <c r="K28" s="44"/>
      <c r="L28" s="44"/>
      <c r="M28" s="44"/>
      <c r="O28" s="28" t="s">
        <v>5</v>
      </c>
      <c r="P28" s="28" t="s">
        <v>6</v>
      </c>
      <c r="Q28" s="28" t="s">
        <v>61</v>
      </c>
    </row>
    <row r="29" spans="1:17" ht="15.6">
      <c r="A29" s="55" t="s">
        <v>55</v>
      </c>
      <c r="B29" s="55"/>
      <c r="C29" s="55"/>
      <c r="D29" s="59"/>
      <c r="E29" s="60"/>
      <c r="F29" s="60"/>
      <c r="G29" s="60"/>
      <c r="H29" s="61"/>
      <c r="I29" s="45"/>
      <c r="J29" s="45"/>
      <c r="K29" s="45"/>
      <c r="L29" s="45"/>
      <c r="M29" s="45"/>
      <c r="O29" s="33">
        <v>2516001</v>
      </c>
      <c r="P29" s="29" t="s">
        <v>12</v>
      </c>
      <c r="Q29" s="30"/>
    </row>
    <row r="30" spans="1:17" ht="15.6">
      <c r="A30" s="55" t="s">
        <v>56</v>
      </c>
      <c r="B30" s="55"/>
      <c r="C30" s="55"/>
      <c r="D30" s="59"/>
      <c r="E30" s="60"/>
      <c r="F30" s="60"/>
      <c r="G30" s="60"/>
      <c r="H30" s="61"/>
      <c r="I30" s="45"/>
      <c r="J30" s="45"/>
      <c r="K30" s="45"/>
      <c r="L30" s="45"/>
      <c r="M30" s="45"/>
      <c r="O30" s="8">
        <v>2516002</v>
      </c>
      <c r="P30" s="29" t="s">
        <v>15</v>
      </c>
      <c r="Q30" s="30"/>
    </row>
    <row r="31" spans="1:17" ht="15.6">
      <c r="A31" s="55" t="s">
        <v>57</v>
      </c>
      <c r="B31" s="55"/>
      <c r="C31" s="55"/>
      <c r="D31" s="59"/>
      <c r="E31" s="60"/>
      <c r="F31" s="60"/>
      <c r="G31" s="60"/>
      <c r="H31" s="61"/>
      <c r="I31" s="45"/>
      <c r="J31" s="45"/>
      <c r="K31" s="45"/>
      <c r="L31" s="45"/>
      <c r="M31" s="45"/>
      <c r="O31" s="8">
        <v>2516003</v>
      </c>
      <c r="P31" s="29" t="s">
        <v>17</v>
      </c>
      <c r="Q31" s="30"/>
    </row>
    <row r="32" spans="1:17" ht="15.6">
      <c r="A32" s="55" t="s">
        <v>36</v>
      </c>
      <c r="B32" s="55"/>
      <c r="C32" s="55"/>
      <c r="D32" s="59"/>
      <c r="E32" s="60"/>
      <c r="F32" s="60"/>
      <c r="G32" s="60"/>
      <c r="H32" s="60"/>
      <c r="I32" s="60"/>
      <c r="J32" s="60"/>
      <c r="K32" s="60"/>
      <c r="L32" s="60"/>
      <c r="M32" s="61"/>
      <c r="O32" s="8">
        <v>2516004</v>
      </c>
      <c r="P32" s="29" t="s">
        <v>19</v>
      </c>
      <c r="Q32" s="30"/>
    </row>
    <row r="33" spans="15:17" ht="15.6">
      <c r="O33" s="8">
        <v>2516005</v>
      </c>
      <c r="P33" s="29" t="s">
        <v>20</v>
      </c>
      <c r="Q33" s="30"/>
    </row>
    <row r="34" spans="15:17" ht="18">
      <c r="O34" s="42" t="s">
        <v>58</v>
      </c>
      <c r="P34" s="42" t="s">
        <v>31</v>
      </c>
      <c r="Q34" s="43"/>
    </row>
  </sheetData>
  <mergeCells count="20">
    <mergeCell ref="A28:C28"/>
    <mergeCell ref="A29:C29"/>
    <mergeCell ref="A30:C30"/>
    <mergeCell ref="A31:C31"/>
    <mergeCell ref="A32:C32"/>
    <mergeCell ref="K6:K7"/>
    <mergeCell ref="L6:L7"/>
    <mergeCell ref="M6:M7"/>
    <mergeCell ref="O6:Q7"/>
    <mergeCell ref="D32:M32"/>
    <mergeCell ref="G6:H6"/>
    <mergeCell ref="D28:H28"/>
    <mergeCell ref="I6:I7"/>
    <mergeCell ref="J6:J7"/>
    <mergeCell ref="A6:A7"/>
    <mergeCell ref="B6:D6"/>
    <mergeCell ref="D29:H29"/>
    <mergeCell ref="D30:H30"/>
    <mergeCell ref="D31:H31"/>
    <mergeCell ref="E6:F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G3" sqref="G3:J8"/>
    </sheetView>
  </sheetViews>
  <sheetFormatPr defaultRowHeight="15.6"/>
  <cols>
    <col min="1" max="1" width="5.21875" style="7" customWidth="1"/>
    <col min="2" max="2" width="26.88671875" style="7" bestFit="1" customWidth="1"/>
    <col min="3" max="3" width="31.109375" style="7" bestFit="1" customWidth="1"/>
    <col min="4" max="4" width="16" style="41" bestFit="1" customWidth="1"/>
    <col min="5" max="6" width="8.88671875" style="7"/>
    <col min="7" max="7" width="18" style="41" customWidth="1"/>
    <col min="8" max="8" width="22.33203125" style="7" bestFit="1" customWidth="1"/>
    <col min="9" max="9" width="19.77734375" style="7" bestFit="1" customWidth="1"/>
    <col min="10" max="10" width="18.33203125" style="7" bestFit="1" customWidth="1"/>
    <col min="11" max="16384" width="8.88671875" style="7"/>
  </cols>
  <sheetData>
    <row r="1" spans="1:10" s="9" customFormat="1">
      <c r="D1" s="38"/>
      <c r="G1" s="38"/>
    </row>
    <row r="2" spans="1:10" s="9" customFormat="1">
      <c r="B2" s="9" t="s">
        <v>9</v>
      </c>
      <c r="D2" s="38"/>
      <c r="G2" s="38" t="s">
        <v>11</v>
      </c>
    </row>
    <row r="3" spans="1:10" s="11" customFormat="1" ht="32.4" customHeight="1">
      <c r="A3" s="22" t="s">
        <v>3</v>
      </c>
      <c r="B3" s="22" t="s">
        <v>28</v>
      </c>
      <c r="C3" s="22" t="s">
        <v>4</v>
      </c>
      <c r="D3" s="39" t="s">
        <v>10</v>
      </c>
      <c r="G3" s="39" t="s">
        <v>5</v>
      </c>
      <c r="H3" s="22" t="s">
        <v>6</v>
      </c>
      <c r="I3" s="22" t="s">
        <v>7</v>
      </c>
      <c r="J3" s="22" t="s">
        <v>8</v>
      </c>
    </row>
    <row r="4" spans="1:10">
      <c r="A4" s="10">
        <v>1</v>
      </c>
      <c r="B4" s="8" t="s">
        <v>66</v>
      </c>
      <c r="C4" s="8" t="s">
        <v>82</v>
      </c>
      <c r="D4" s="40">
        <v>250000</v>
      </c>
      <c r="G4" s="46">
        <v>2516001</v>
      </c>
      <c r="H4" s="8" t="s">
        <v>77</v>
      </c>
      <c r="I4" s="8" t="s">
        <v>13</v>
      </c>
      <c r="J4" s="8" t="s">
        <v>14</v>
      </c>
    </row>
    <row r="5" spans="1:10">
      <c r="A5" s="10">
        <v>2</v>
      </c>
      <c r="B5" s="8" t="s">
        <v>74</v>
      </c>
      <c r="C5" s="8" t="s">
        <v>83</v>
      </c>
      <c r="D5" s="40">
        <v>200000</v>
      </c>
      <c r="G5" s="40">
        <v>2516002</v>
      </c>
      <c r="H5" s="8" t="s">
        <v>78</v>
      </c>
      <c r="I5" s="8" t="s">
        <v>16</v>
      </c>
      <c r="J5" s="8" t="s">
        <v>14</v>
      </c>
    </row>
    <row r="6" spans="1:10">
      <c r="A6" s="10">
        <v>3</v>
      </c>
      <c r="B6" s="8" t="s">
        <v>62</v>
      </c>
      <c r="C6" s="8" t="s">
        <v>84</v>
      </c>
      <c r="D6" s="40">
        <v>150000</v>
      </c>
      <c r="G6" s="40">
        <v>2516003</v>
      </c>
      <c r="H6" s="8" t="s">
        <v>79</v>
      </c>
      <c r="I6" s="8" t="s">
        <v>13</v>
      </c>
      <c r="J6" s="8" t="s">
        <v>18</v>
      </c>
    </row>
    <row r="7" spans="1:10">
      <c r="A7" s="10">
        <v>4</v>
      </c>
      <c r="B7" s="8" t="s">
        <v>70</v>
      </c>
      <c r="C7" s="8" t="s">
        <v>85</v>
      </c>
      <c r="D7" s="40">
        <v>300000</v>
      </c>
      <c r="G7" s="40">
        <v>2516004</v>
      </c>
      <c r="H7" s="8" t="s">
        <v>80</v>
      </c>
      <c r="I7" s="8" t="s">
        <v>13</v>
      </c>
      <c r="J7" s="8" t="s">
        <v>14</v>
      </c>
    </row>
    <row r="8" spans="1:10">
      <c r="A8" s="10">
        <v>5</v>
      </c>
      <c r="B8" s="8" t="s">
        <v>68</v>
      </c>
      <c r="C8" s="8" t="s">
        <v>86</v>
      </c>
      <c r="D8" s="40">
        <v>180000</v>
      </c>
      <c r="G8" s="40">
        <v>2516005</v>
      </c>
      <c r="H8" s="8" t="s">
        <v>81</v>
      </c>
      <c r="I8" s="8" t="s">
        <v>16</v>
      </c>
      <c r="J8" s="8" t="s">
        <v>18</v>
      </c>
    </row>
    <row r="9" spans="1:10">
      <c r="A9" s="10">
        <v>6</v>
      </c>
      <c r="B9" s="8" t="s">
        <v>72</v>
      </c>
      <c r="C9" s="8" t="s">
        <v>87</v>
      </c>
      <c r="D9" s="40">
        <v>350000</v>
      </c>
      <c r="G9" s="47" t="s">
        <v>30</v>
      </c>
      <c r="H9" s="12" t="s">
        <v>31</v>
      </c>
      <c r="I9" s="8" t="s">
        <v>13</v>
      </c>
      <c r="J9" s="8" t="s">
        <v>18</v>
      </c>
    </row>
    <row r="10" spans="1:10">
      <c r="A10" s="10">
        <v>7</v>
      </c>
      <c r="B10" s="8" t="s">
        <v>64</v>
      </c>
      <c r="C10" s="8" t="s">
        <v>88</v>
      </c>
      <c r="D10" s="40">
        <v>220000</v>
      </c>
    </row>
    <row r="11" spans="1:10">
      <c r="A11" s="10">
        <v>8</v>
      </c>
      <c r="B11" s="8" t="s">
        <v>76</v>
      </c>
      <c r="C11" s="8" t="s">
        <v>89</v>
      </c>
      <c r="D11" s="40">
        <v>100000</v>
      </c>
    </row>
    <row r="12" spans="1:10">
      <c r="A12" s="10">
        <v>9</v>
      </c>
      <c r="B12" s="8" t="s">
        <v>67</v>
      </c>
      <c r="C12" s="8" t="s">
        <v>90</v>
      </c>
      <c r="D12" s="40">
        <v>400000</v>
      </c>
    </row>
    <row r="13" spans="1:10">
      <c r="A13" s="10">
        <v>10</v>
      </c>
      <c r="B13" s="8" t="s">
        <v>73</v>
      </c>
      <c r="C13" s="8" t="s">
        <v>91</v>
      </c>
      <c r="D13" s="40">
        <v>175000</v>
      </c>
    </row>
    <row r="14" spans="1:10">
      <c r="A14" s="10">
        <v>11</v>
      </c>
      <c r="B14" s="8" t="s">
        <v>63</v>
      </c>
      <c r="C14" s="8" t="s">
        <v>92</v>
      </c>
      <c r="D14" s="40">
        <v>275000</v>
      </c>
    </row>
    <row r="15" spans="1:10">
      <c r="A15" s="10">
        <v>12</v>
      </c>
      <c r="B15" s="8" t="s">
        <v>69</v>
      </c>
      <c r="C15" s="8" t="s">
        <v>93</v>
      </c>
      <c r="D15" s="40">
        <v>160000</v>
      </c>
    </row>
    <row r="16" spans="1:10">
      <c r="A16" s="10">
        <v>13</v>
      </c>
      <c r="B16" s="8" t="s">
        <v>75</v>
      </c>
      <c r="C16" s="8" t="s">
        <v>94</v>
      </c>
      <c r="D16" s="40">
        <v>330000</v>
      </c>
    </row>
    <row r="17" spans="1:4">
      <c r="A17" s="10">
        <v>14</v>
      </c>
      <c r="B17" s="8" t="s">
        <v>65</v>
      </c>
      <c r="C17" s="8" t="s">
        <v>95</v>
      </c>
      <c r="D17" s="40">
        <v>290000</v>
      </c>
    </row>
    <row r="18" spans="1:4">
      <c r="A18" s="10">
        <v>15</v>
      </c>
      <c r="B18" s="7" t="s">
        <v>71</v>
      </c>
      <c r="C18" s="7" t="s">
        <v>96</v>
      </c>
      <c r="D18" s="40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 &amp; Petunjuk</vt:lpstr>
      <vt:lpstr>Laporan Administrasi</vt:lpstr>
      <vt:lpstr>Tabel 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MTI Canduang</cp:lastModifiedBy>
  <dcterms:created xsi:type="dcterms:W3CDTF">2025-12-17T04:49:00Z</dcterms:created>
  <dcterms:modified xsi:type="dcterms:W3CDTF">2025-12-18T09:53:38Z</dcterms:modified>
</cp:coreProperties>
</file>