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Y Labs\OpenLearning\Web Programming\IF Kelas 7.6\"/>
    </mc:Choice>
  </mc:AlternateContent>
  <xr:revisionPtr revIDLastSave="0" documentId="13_ncr:1_{C94EBB46-69B4-4A64-A6F0-A160CDB95D1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NILAI UAS" sheetId="1" r:id="rId1"/>
    <sheet name="KUNCI JAWABAN PG" sheetId="2" r:id="rId2"/>
  </sheets>
  <calcPr calcId="191029"/>
</workbook>
</file>

<file path=xl/calcChain.xml><?xml version="1.0" encoding="utf-8"?>
<calcChain xmlns="http://schemas.openxmlformats.org/spreadsheetml/2006/main">
  <c r="I9" i="1" l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8" i="1"/>
  <c r="J8" i="1" s="1"/>
  <c r="P35" i="1"/>
  <c r="L35" i="1"/>
  <c r="P34" i="1"/>
  <c r="L34" i="1"/>
  <c r="P33" i="1"/>
  <c r="L33" i="1"/>
  <c r="P32" i="1"/>
  <c r="L32" i="1"/>
  <c r="P31" i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L22" i="1"/>
  <c r="P21" i="1"/>
  <c r="L21" i="1"/>
  <c r="P20" i="1"/>
  <c r="L20" i="1"/>
  <c r="P19" i="1"/>
  <c r="L19" i="1"/>
  <c r="P18" i="1"/>
  <c r="L18" i="1"/>
  <c r="P17" i="1"/>
  <c r="L17" i="1"/>
  <c r="P16" i="1"/>
  <c r="L16" i="1"/>
  <c r="P15" i="1"/>
  <c r="L15" i="1"/>
  <c r="P14" i="1"/>
  <c r="L14" i="1"/>
  <c r="P13" i="1"/>
  <c r="L13" i="1"/>
  <c r="P12" i="1"/>
  <c r="L12" i="1"/>
  <c r="P11" i="1"/>
  <c r="L11" i="1"/>
  <c r="P10" i="1"/>
  <c r="L10" i="1"/>
  <c r="P9" i="1"/>
  <c r="L9" i="1"/>
  <c r="P8" i="1"/>
  <c r="L8" i="1"/>
  <c r="Q18" i="1" l="1"/>
  <c r="Q30" i="1"/>
  <c r="Q14" i="1"/>
  <c r="Q8" i="1"/>
  <c r="Q20" i="1"/>
  <c r="Q13" i="1"/>
  <c r="Q17" i="1"/>
  <c r="Q29" i="1"/>
  <c r="Q33" i="1"/>
  <c r="Q11" i="1"/>
  <c r="Q15" i="1"/>
  <c r="Q19" i="1"/>
  <c r="Q27" i="1"/>
  <c r="Q24" i="1"/>
  <c r="Q32" i="1"/>
  <c r="Q10" i="1"/>
  <c r="Q26" i="1"/>
  <c r="Q31" i="1"/>
  <c r="Q22" i="1"/>
  <c r="Q9" i="1"/>
  <c r="Q12" i="1"/>
  <c r="Q16" i="1"/>
  <c r="Q23" i="1"/>
  <c r="Q34" i="1"/>
  <c r="Q35" i="1"/>
  <c r="Q21" i="1"/>
  <c r="Q25" i="1"/>
  <c r="Q28" i="1"/>
</calcChain>
</file>

<file path=xl/sharedStrings.xml><?xml version="1.0" encoding="utf-8"?>
<sst xmlns="http://schemas.openxmlformats.org/spreadsheetml/2006/main" count="70" uniqueCount="68">
  <si>
    <t>UAS</t>
  </si>
  <si>
    <t>No</t>
  </si>
  <si>
    <t>Nama Siswa</t>
  </si>
  <si>
    <t>UTS</t>
  </si>
  <si>
    <t>PILIHAN GANDA (40)</t>
  </si>
  <si>
    <t>PRAKTEK (60)</t>
  </si>
  <si>
    <t>Nilai UAS</t>
  </si>
  <si>
    <t>Benar PG</t>
  </si>
  <si>
    <t>Nilai PG</t>
  </si>
  <si>
    <t>P1 (25)</t>
  </si>
  <si>
    <t>P2 (30)</t>
  </si>
  <si>
    <t>P3 (45)</t>
  </si>
  <si>
    <t>Nilai Praktik</t>
  </si>
  <si>
    <t>Irsyadul firza</t>
  </si>
  <si>
    <t>M. Ahsanul hakin</t>
  </si>
  <si>
    <t>Muhammaf iqbal</t>
  </si>
  <si>
    <t>Fadli Maulana akbar</t>
  </si>
  <si>
    <t>Muhammad Aidil Pratama D.</t>
  </si>
  <si>
    <t>Yazid Hamdi</t>
  </si>
  <si>
    <t>Muhammad Dzakwan Al Ghani</t>
  </si>
  <si>
    <t>Muhammad Halim Arrasyid</t>
  </si>
  <si>
    <t>Muhammad Ghifari Fathan</t>
  </si>
  <si>
    <t>M.Hasyim Aridho</t>
  </si>
  <si>
    <t>Dzaqwan Raif Hamdi</t>
  </si>
  <si>
    <t>Abdul rasyid</t>
  </si>
  <si>
    <t>Haikal alfiriandi</t>
  </si>
  <si>
    <t>Raihan Alfaris</t>
  </si>
  <si>
    <t>Muhammad Ihsan</t>
  </si>
  <si>
    <t>Anugrah Rey fatih</t>
  </si>
  <si>
    <t>Akbarunnas</t>
  </si>
  <si>
    <t>Jihan Nissa</t>
  </si>
  <si>
    <t>D. raesya Salwa zharifa</t>
  </si>
  <si>
    <t>Azza Ghifari ersyada</t>
  </si>
  <si>
    <t>Adelia Fayza Hanifa</t>
  </si>
  <si>
    <t>Farhana Aqylla</t>
  </si>
  <si>
    <t>Selvi septiani</t>
  </si>
  <si>
    <t>Zahra Anggraini</t>
  </si>
  <si>
    <t>Ade ayu Sintia dewi</t>
  </si>
  <si>
    <t>Syakila Zahra amanda</t>
  </si>
  <si>
    <t>| No | Jawaban |</t>
  </si>
  <si>
    <t>| -- | ------- |</t>
  </si>
  <si>
    <t>| 1  | C       |</t>
  </si>
  <si>
    <t>| 2  | A       |</t>
  </si>
  <si>
    <t>| 3  | B       |</t>
  </si>
  <si>
    <t>| 4  | B       |</t>
  </si>
  <si>
    <t>| 5  | A       |</t>
  </si>
  <si>
    <t>| 6  | C       |</t>
  </si>
  <si>
    <t>| 7  | A       |</t>
  </si>
  <si>
    <t>| 8  | C       |</t>
  </si>
  <si>
    <t>| 9  | C       |</t>
  </si>
  <si>
    <t>| 10 | B       |</t>
  </si>
  <si>
    <t>| 11 | B       |</t>
  </si>
  <si>
    <t>| 12 | A       |</t>
  </si>
  <si>
    <t>Variable &amp; Fungsi (25)</t>
  </si>
  <si>
    <t>Output &amp; Clean Code (25)</t>
  </si>
  <si>
    <t>Kreativitas(20)</t>
  </si>
  <si>
    <t>Looping(30)</t>
  </si>
  <si>
    <t>Nilai MID</t>
  </si>
  <si>
    <t>Praktek (60)</t>
  </si>
  <si>
    <t>Suci aulia</t>
  </si>
  <si>
    <t>M.balya</t>
  </si>
  <si>
    <t>Pilihan Ganda (40)</t>
  </si>
  <si>
    <t>Abdul Yamin, S.Pd., M.Kom</t>
  </si>
  <si>
    <t>Guru Bidang Studi</t>
  </si>
  <si>
    <t>Mata Pelajaran</t>
  </si>
  <si>
    <t>Data Nilai Kelas 7.5</t>
  </si>
  <si>
    <t>TIK/Informatika</t>
  </si>
  <si>
    <t>KKM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</si>
</sst>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  <family val="1"/>
    </font>
    <font>
      <b/>
      <sz val="12"/>
      <name val="Calibri"/>
      <family val="1"/>
    </font>
    <font>
      <sz val="12"/>
      <name val="Calibri"/>
      <family val="1"/>
    </font>
    <font>
      <sz val="12"/>
      <name val="Calibri"/>
      <family val="1"/>
    </font>
    <font>
      <b/>
      <sz val="12"/>
      <name val="Calibri"/>
      <family val="1"/>
    </font>
    <font>
      <b/>
      <sz val="12"/>
      <color theme="0"/>
      <name val="Calibri"/>
      <family val="2"/>
    </font>
    <font>
      <b/>
      <sz val="12"/>
      <name val="Calibri"/>
      <family val="2"/>
    </font>
    <font>
      <b/>
      <sz val="2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1" fontId="6" fillId="4" borderId="1" xfId="0" applyNumberFormat="1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2" fillId="0" borderId="0" xfId="0" applyFont="1" applyFill="1"/>
    <xf numFmtId="0" fontId="6" fillId="0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6" fillId="4" borderId="2" xfId="0" applyFont="1" applyFill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6" fillId="4" borderId="2" xfId="0" applyNumberFormat="1" applyFont="1" applyFill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abSelected="1" topLeftCell="A8" zoomScale="90" zoomScaleNormal="90" workbookViewId="0">
      <selection activeCell="L31" sqref="L31"/>
    </sheetView>
  </sheetViews>
  <sheetFormatPr defaultColWidth="8.88671875" defaultRowHeight="15.6" x14ac:dyDescent="0.3"/>
  <cols>
    <col min="1" max="1" width="3.6640625" style="3" customWidth="1"/>
    <col min="2" max="2" width="31.6640625" style="4" customWidth="1"/>
    <col min="3" max="3" width="5.5546875" style="40" bestFit="1" customWidth="1"/>
    <col min="4" max="4" width="15.5546875" style="4" customWidth="1"/>
    <col min="5" max="5" width="13.33203125" style="4" customWidth="1"/>
    <col min="6" max="6" width="12.33203125" style="4" bestFit="1" customWidth="1"/>
    <col min="7" max="7" width="13.5546875" style="4" customWidth="1"/>
    <col min="8" max="8" width="10.109375" style="4" customWidth="1"/>
    <col min="9" max="9" width="12.44140625" style="4" bestFit="1" customWidth="1"/>
    <col min="10" max="10" width="9.6640625" style="18" bestFit="1" customWidth="1"/>
    <col min="11" max="11" width="9.44140625" style="2" customWidth="1"/>
    <col min="12" max="12" width="8.33203125" style="2" customWidth="1"/>
    <col min="13" max="15" width="7.33203125" style="2" customWidth="1"/>
    <col min="16" max="16" width="12.44140625" style="2" customWidth="1"/>
    <col min="17" max="17" width="9.6640625" style="20" bestFit="1" customWidth="1"/>
    <col min="18" max="16384" width="8.88671875" style="2"/>
  </cols>
  <sheetData>
    <row r="1" spans="1:17" ht="25.8" x14ac:dyDescent="0.5">
      <c r="B1" s="26" t="s">
        <v>65</v>
      </c>
      <c r="C1" s="38"/>
      <c r="J1" s="23"/>
      <c r="K1" s="24"/>
      <c r="L1" s="24"/>
      <c r="M1" s="24"/>
      <c r="N1" s="24"/>
      <c r="O1" s="24"/>
      <c r="P1" s="24"/>
      <c r="Q1" s="25"/>
    </row>
    <row r="2" spans="1:17" s="24" customFormat="1" x14ac:dyDescent="0.3">
      <c r="A2" s="21"/>
      <c r="B2" s="24" t="s">
        <v>64</v>
      </c>
      <c r="C2" s="22" t="s">
        <v>66</v>
      </c>
      <c r="E2" s="22"/>
      <c r="F2" s="22"/>
      <c r="G2" s="22"/>
      <c r="H2" s="22"/>
      <c r="I2" s="22"/>
      <c r="J2" s="23"/>
      <c r="Q2" s="25"/>
    </row>
    <row r="3" spans="1:17" s="24" customFormat="1" x14ac:dyDescent="0.3">
      <c r="A3" s="21"/>
      <c r="B3" s="24" t="s">
        <v>63</v>
      </c>
      <c r="C3" s="22" t="s">
        <v>62</v>
      </c>
      <c r="E3" s="22"/>
      <c r="F3" s="22"/>
      <c r="G3" s="22"/>
      <c r="H3" s="22"/>
      <c r="I3" s="22"/>
      <c r="J3" s="23"/>
      <c r="Q3" s="25"/>
    </row>
    <row r="4" spans="1:17" s="24" customFormat="1" x14ac:dyDescent="0.3">
      <c r="A4" s="21"/>
      <c r="B4" s="22"/>
      <c r="C4" s="39"/>
      <c r="D4" s="22"/>
      <c r="E4" s="22"/>
      <c r="F4" s="22"/>
      <c r="G4" s="22"/>
      <c r="H4" s="22"/>
      <c r="I4" s="22"/>
      <c r="J4" s="23"/>
      <c r="Q4" s="25"/>
    </row>
    <row r="5" spans="1:17" ht="15.6" customHeight="1" x14ac:dyDescent="0.3">
      <c r="A5" s="5" t="s">
        <v>1</v>
      </c>
      <c r="B5" s="5" t="s">
        <v>2</v>
      </c>
      <c r="C5" s="36" t="s">
        <v>67</v>
      </c>
      <c r="D5" s="13" t="s">
        <v>3</v>
      </c>
      <c r="E5" s="14"/>
      <c r="F5" s="14"/>
      <c r="G5" s="14"/>
      <c r="H5" s="14"/>
      <c r="I5" s="15"/>
      <c r="J5" s="41" t="s">
        <v>57</v>
      </c>
      <c r="K5" s="44" t="s">
        <v>0</v>
      </c>
      <c r="L5" s="45"/>
      <c r="M5" s="45"/>
      <c r="N5" s="45"/>
      <c r="O5" s="45"/>
      <c r="P5" s="46"/>
      <c r="Q5" s="41" t="s">
        <v>6</v>
      </c>
    </row>
    <row r="6" spans="1:17" s="1" customFormat="1" ht="31.2" x14ac:dyDescent="0.3">
      <c r="A6" s="5"/>
      <c r="B6" s="5"/>
      <c r="C6" s="16"/>
      <c r="D6" s="7" t="s">
        <v>61</v>
      </c>
      <c r="E6" s="10" t="s">
        <v>58</v>
      </c>
      <c r="F6" s="8"/>
      <c r="G6" s="8"/>
      <c r="H6" s="8"/>
      <c r="I6" s="8"/>
      <c r="J6" s="42"/>
      <c r="K6" s="8" t="s">
        <v>4</v>
      </c>
      <c r="L6" s="8"/>
      <c r="M6" s="8" t="s">
        <v>5</v>
      </c>
      <c r="N6" s="8"/>
      <c r="O6" s="8"/>
      <c r="P6" s="8"/>
      <c r="Q6" s="42"/>
    </row>
    <row r="7" spans="1:17" s="1" customFormat="1" ht="49.8" customHeight="1" thickBot="1" x14ac:dyDescent="0.35">
      <c r="A7" s="32"/>
      <c r="B7" s="32"/>
      <c r="C7" s="35"/>
      <c r="D7" s="33" t="s">
        <v>8</v>
      </c>
      <c r="E7" s="33" t="s">
        <v>53</v>
      </c>
      <c r="F7" s="33" t="s">
        <v>56</v>
      </c>
      <c r="G7" s="33" t="s">
        <v>54</v>
      </c>
      <c r="H7" s="33" t="s">
        <v>55</v>
      </c>
      <c r="I7" s="33" t="s">
        <v>12</v>
      </c>
      <c r="J7" s="43"/>
      <c r="K7" s="34" t="s">
        <v>7</v>
      </c>
      <c r="L7" s="33" t="s">
        <v>8</v>
      </c>
      <c r="M7" s="34" t="s">
        <v>9</v>
      </c>
      <c r="N7" s="34" t="s">
        <v>10</v>
      </c>
      <c r="O7" s="34" t="s">
        <v>11</v>
      </c>
      <c r="P7" s="33" t="s">
        <v>12</v>
      </c>
      <c r="Q7" s="43"/>
    </row>
    <row r="8" spans="1:17" ht="15.6" customHeight="1" thickTop="1" x14ac:dyDescent="0.3">
      <c r="A8" s="27">
        <v>1</v>
      </c>
      <c r="B8" s="28" t="s">
        <v>13</v>
      </c>
      <c r="C8" s="37">
        <v>75</v>
      </c>
      <c r="D8" s="27">
        <v>100</v>
      </c>
      <c r="E8" s="27">
        <v>25</v>
      </c>
      <c r="F8" s="27">
        <v>25</v>
      </c>
      <c r="G8" s="27">
        <v>20</v>
      </c>
      <c r="H8" s="27">
        <v>15</v>
      </c>
      <c r="I8" s="27">
        <f>SUM(E8:H8)</f>
        <v>85</v>
      </c>
      <c r="J8" s="29">
        <f>D8*40%+I8*60%</f>
        <v>91</v>
      </c>
      <c r="K8" s="27">
        <v>12</v>
      </c>
      <c r="L8" s="30">
        <f t="shared" ref="L8:L35" si="0">(K8/12)*100</f>
        <v>100</v>
      </c>
      <c r="M8" s="27">
        <v>25</v>
      </c>
      <c r="N8" s="27">
        <v>15</v>
      </c>
      <c r="O8" s="27">
        <v>20</v>
      </c>
      <c r="P8" s="30">
        <f t="shared" ref="P8:P35" si="1">SUM(M8:O8)</f>
        <v>60</v>
      </c>
      <c r="Q8" s="31">
        <f t="shared" ref="Q8:Q35" si="2">L8*40%+P8*60%</f>
        <v>76</v>
      </c>
    </row>
    <row r="9" spans="1:17" ht="15.6" customHeight="1" x14ac:dyDescent="0.3">
      <c r="A9" s="9">
        <v>2</v>
      </c>
      <c r="B9" s="6" t="s">
        <v>59</v>
      </c>
      <c r="C9" s="11">
        <v>75</v>
      </c>
      <c r="D9" s="9">
        <v>80</v>
      </c>
      <c r="E9" s="9">
        <v>20</v>
      </c>
      <c r="F9" s="9">
        <v>25</v>
      </c>
      <c r="G9" s="9">
        <v>20</v>
      </c>
      <c r="H9" s="9">
        <v>20</v>
      </c>
      <c r="I9" s="9">
        <f>SUM(E9:H9)</f>
        <v>85</v>
      </c>
      <c r="J9" s="17">
        <f t="shared" ref="J9:J35" si="3">D9*40%+I9*60%</f>
        <v>83</v>
      </c>
      <c r="K9" s="9">
        <v>12</v>
      </c>
      <c r="L9" s="12">
        <f t="shared" si="0"/>
        <v>100</v>
      </c>
      <c r="M9" s="9">
        <v>23</v>
      </c>
      <c r="N9" s="9">
        <v>30</v>
      </c>
      <c r="O9" s="9">
        <v>45</v>
      </c>
      <c r="P9" s="12">
        <f t="shared" si="1"/>
        <v>98</v>
      </c>
      <c r="Q9" s="19">
        <f t="shared" si="2"/>
        <v>98.8</v>
      </c>
    </row>
    <row r="10" spans="1:17" ht="15.6" customHeight="1" x14ac:dyDescent="0.3">
      <c r="A10" s="9">
        <v>3</v>
      </c>
      <c r="B10" s="6" t="s">
        <v>14</v>
      </c>
      <c r="C10" s="37">
        <v>75</v>
      </c>
      <c r="D10" s="9">
        <v>80</v>
      </c>
      <c r="E10" s="9">
        <v>25</v>
      </c>
      <c r="F10" s="9">
        <v>25</v>
      </c>
      <c r="G10" s="9">
        <v>20</v>
      </c>
      <c r="H10" s="9">
        <v>15</v>
      </c>
      <c r="I10" s="9">
        <f>SUM(E10:H10)</f>
        <v>85</v>
      </c>
      <c r="J10" s="17">
        <f t="shared" si="3"/>
        <v>83</v>
      </c>
      <c r="K10" s="9">
        <v>10</v>
      </c>
      <c r="L10" s="12">
        <f t="shared" si="0"/>
        <v>83.333333333333343</v>
      </c>
      <c r="M10" s="9">
        <v>25</v>
      </c>
      <c r="N10" s="9">
        <v>28</v>
      </c>
      <c r="O10" s="9">
        <v>45</v>
      </c>
      <c r="P10" s="12">
        <f t="shared" si="1"/>
        <v>98</v>
      </c>
      <c r="Q10" s="19">
        <f t="shared" si="2"/>
        <v>92.133333333333326</v>
      </c>
    </row>
    <row r="11" spans="1:17" ht="15.6" customHeight="1" x14ac:dyDescent="0.3">
      <c r="A11" s="9">
        <v>4</v>
      </c>
      <c r="B11" s="6" t="s">
        <v>15</v>
      </c>
      <c r="C11" s="11">
        <v>75</v>
      </c>
      <c r="D11" s="9">
        <v>70</v>
      </c>
      <c r="E11" s="9">
        <v>20</v>
      </c>
      <c r="F11" s="9">
        <v>25</v>
      </c>
      <c r="G11" s="9">
        <v>20</v>
      </c>
      <c r="H11" s="9">
        <v>20</v>
      </c>
      <c r="I11" s="9">
        <f>SUM(E11:H11)</f>
        <v>85</v>
      </c>
      <c r="J11" s="17">
        <f t="shared" si="3"/>
        <v>79</v>
      </c>
      <c r="K11" s="9">
        <v>11</v>
      </c>
      <c r="L11" s="12">
        <f t="shared" si="0"/>
        <v>91.666666666666657</v>
      </c>
      <c r="M11" s="9">
        <v>25</v>
      </c>
      <c r="N11" s="9">
        <v>30</v>
      </c>
      <c r="O11" s="9">
        <v>35</v>
      </c>
      <c r="P11" s="12">
        <f t="shared" si="1"/>
        <v>90</v>
      </c>
      <c r="Q11" s="19">
        <f t="shared" si="2"/>
        <v>90.666666666666657</v>
      </c>
    </row>
    <row r="12" spans="1:17" ht="15.6" customHeight="1" x14ac:dyDescent="0.3">
      <c r="A12" s="9">
        <v>5</v>
      </c>
      <c r="B12" s="6" t="s">
        <v>16</v>
      </c>
      <c r="C12" s="37">
        <v>75</v>
      </c>
      <c r="D12" s="9">
        <v>80</v>
      </c>
      <c r="E12" s="9">
        <v>25</v>
      </c>
      <c r="F12" s="9">
        <v>25</v>
      </c>
      <c r="G12" s="9">
        <v>18</v>
      </c>
      <c r="H12" s="9">
        <v>20</v>
      </c>
      <c r="I12" s="9">
        <f>SUM(E12:H12)</f>
        <v>88</v>
      </c>
      <c r="J12" s="17">
        <f t="shared" si="3"/>
        <v>84.8</v>
      </c>
      <c r="K12" s="9">
        <v>11</v>
      </c>
      <c r="L12" s="12">
        <f t="shared" si="0"/>
        <v>91.666666666666657</v>
      </c>
      <c r="M12" s="9">
        <v>25</v>
      </c>
      <c r="N12" s="9">
        <v>30</v>
      </c>
      <c r="O12" s="9">
        <v>45</v>
      </c>
      <c r="P12" s="12">
        <f t="shared" si="1"/>
        <v>100</v>
      </c>
      <c r="Q12" s="19">
        <f t="shared" si="2"/>
        <v>96.666666666666657</v>
      </c>
    </row>
    <row r="13" spans="1:17" ht="15.6" customHeight="1" x14ac:dyDescent="0.3">
      <c r="A13" s="9">
        <v>6</v>
      </c>
      <c r="B13" s="6" t="s">
        <v>17</v>
      </c>
      <c r="C13" s="11">
        <v>75</v>
      </c>
      <c r="D13" s="9">
        <v>80</v>
      </c>
      <c r="E13" s="9">
        <v>15</v>
      </c>
      <c r="F13" s="9">
        <v>25</v>
      </c>
      <c r="G13" s="9">
        <v>20</v>
      </c>
      <c r="H13" s="9">
        <v>20</v>
      </c>
      <c r="I13" s="9">
        <f>SUM(E13:H13)</f>
        <v>80</v>
      </c>
      <c r="J13" s="17">
        <f t="shared" si="3"/>
        <v>80</v>
      </c>
      <c r="K13" s="9">
        <v>10</v>
      </c>
      <c r="L13" s="12">
        <f t="shared" si="0"/>
        <v>83.333333333333343</v>
      </c>
      <c r="M13" s="9">
        <v>25</v>
      </c>
      <c r="N13" s="9">
        <v>30</v>
      </c>
      <c r="O13" s="9">
        <v>35</v>
      </c>
      <c r="P13" s="12">
        <f t="shared" si="1"/>
        <v>90</v>
      </c>
      <c r="Q13" s="19">
        <f t="shared" si="2"/>
        <v>87.333333333333343</v>
      </c>
    </row>
    <row r="14" spans="1:17" ht="15.6" customHeight="1" x14ac:dyDescent="0.3">
      <c r="A14" s="9">
        <v>7</v>
      </c>
      <c r="B14" s="6" t="s">
        <v>18</v>
      </c>
      <c r="C14" s="37">
        <v>75</v>
      </c>
      <c r="D14" s="9">
        <v>80</v>
      </c>
      <c r="E14" s="9">
        <v>15</v>
      </c>
      <c r="F14" s="9">
        <v>25</v>
      </c>
      <c r="G14" s="9">
        <v>15</v>
      </c>
      <c r="H14" s="9">
        <v>15</v>
      </c>
      <c r="I14" s="9">
        <f>SUM(E14:H14)</f>
        <v>70</v>
      </c>
      <c r="J14" s="17">
        <f t="shared" si="3"/>
        <v>74</v>
      </c>
      <c r="K14" s="9">
        <v>10</v>
      </c>
      <c r="L14" s="12">
        <f t="shared" si="0"/>
        <v>83.333333333333343</v>
      </c>
      <c r="M14" s="9">
        <v>10</v>
      </c>
      <c r="N14" s="9">
        <v>10</v>
      </c>
      <c r="O14" s="9">
        <v>20</v>
      </c>
      <c r="P14" s="12">
        <f t="shared" si="1"/>
        <v>40</v>
      </c>
      <c r="Q14" s="19">
        <f t="shared" si="2"/>
        <v>57.333333333333336</v>
      </c>
    </row>
    <row r="15" spans="1:17" ht="15.6" customHeight="1" x14ac:dyDescent="0.3">
      <c r="A15" s="9">
        <v>8</v>
      </c>
      <c r="B15" s="6" t="s">
        <v>19</v>
      </c>
      <c r="C15" s="11">
        <v>75</v>
      </c>
      <c r="D15" s="9">
        <v>90</v>
      </c>
      <c r="E15" s="9">
        <v>15</v>
      </c>
      <c r="F15" s="9">
        <v>25</v>
      </c>
      <c r="G15" s="9">
        <v>20</v>
      </c>
      <c r="H15" s="9">
        <v>20</v>
      </c>
      <c r="I15" s="9">
        <f>SUM(E15:H15)</f>
        <v>80</v>
      </c>
      <c r="J15" s="17">
        <f t="shared" si="3"/>
        <v>84</v>
      </c>
      <c r="K15" s="9">
        <v>10</v>
      </c>
      <c r="L15" s="12">
        <f t="shared" si="0"/>
        <v>83.333333333333343</v>
      </c>
      <c r="M15" s="9">
        <v>25</v>
      </c>
      <c r="N15" s="9">
        <v>30</v>
      </c>
      <c r="O15" s="9">
        <v>35</v>
      </c>
      <c r="P15" s="12">
        <f t="shared" si="1"/>
        <v>90</v>
      </c>
      <c r="Q15" s="19">
        <f t="shared" si="2"/>
        <v>87.333333333333343</v>
      </c>
    </row>
    <row r="16" spans="1:17" ht="15.6" customHeight="1" x14ac:dyDescent="0.3">
      <c r="A16" s="9">
        <v>9</v>
      </c>
      <c r="B16" s="6" t="s">
        <v>20</v>
      </c>
      <c r="C16" s="37">
        <v>75</v>
      </c>
      <c r="D16" s="9">
        <v>90</v>
      </c>
      <c r="E16" s="9">
        <v>15</v>
      </c>
      <c r="F16" s="9">
        <v>25</v>
      </c>
      <c r="G16" s="9">
        <v>20</v>
      </c>
      <c r="H16" s="9">
        <v>20</v>
      </c>
      <c r="I16" s="9">
        <f>SUM(E16:H16)</f>
        <v>80</v>
      </c>
      <c r="J16" s="17">
        <f t="shared" si="3"/>
        <v>84</v>
      </c>
      <c r="K16" s="9">
        <v>10</v>
      </c>
      <c r="L16" s="12">
        <f t="shared" si="0"/>
        <v>83.333333333333343</v>
      </c>
      <c r="M16" s="9">
        <v>25</v>
      </c>
      <c r="N16" s="9">
        <v>30</v>
      </c>
      <c r="O16" s="9">
        <v>35</v>
      </c>
      <c r="P16" s="12">
        <f t="shared" si="1"/>
        <v>90</v>
      </c>
      <c r="Q16" s="19">
        <f t="shared" si="2"/>
        <v>87.333333333333343</v>
      </c>
    </row>
    <row r="17" spans="1:17" ht="15.6" customHeight="1" x14ac:dyDescent="0.3">
      <c r="A17" s="9">
        <v>10</v>
      </c>
      <c r="B17" s="6" t="s">
        <v>21</v>
      </c>
      <c r="C17" s="11">
        <v>75</v>
      </c>
      <c r="D17" s="9">
        <v>90</v>
      </c>
      <c r="E17" s="9">
        <v>15</v>
      </c>
      <c r="F17" s="9">
        <v>25</v>
      </c>
      <c r="G17" s="9">
        <v>20</v>
      </c>
      <c r="H17" s="9">
        <v>10</v>
      </c>
      <c r="I17" s="9">
        <f>SUM(E17:H17)</f>
        <v>70</v>
      </c>
      <c r="J17" s="17">
        <f t="shared" si="3"/>
        <v>78</v>
      </c>
      <c r="K17" s="9">
        <v>10</v>
      </c>
      <c r="L17" s="12">
        <f t="shared" si="0"/>
        <v>83.333333333333343</v>
      </c>
      <c r="M17" s="9">
        <v>25</v>
      </c>
      <c r="N17" s="9">
        <v>30</v>
      </c>
      <c r="O17" s="9">
        <v>45</v>
      </c>
      <c r="P17" s="12">
        <f t="shared" si="1"/>
        <v>100</v>
      </c>
      <c r="Q17" s="19">
        <f t="shared" si="2"/>
        <v>93.333333333333343</v>
      </c>
    </row>
    <row r="18" spans="1:17" ht="15.6" customHeight="1" x14ac:dyDescent="0.3">
      <c r="A18" s="9">
        <v>11</v>
      </c>
      <c r="B18" s="6" t="s">
        <v>22</v>
      </c>
      <c r="C18" s="37">
        <v>75</v>
      </c>
      <c r="D18" s="9">
        <v>90</v>
      </c>
      <c r="E18" s="9">
        <v>15</v>
      </c>
      <c r="F18" s="9">
        <v>25</v>
      </c>
      <c r="G18" s="9">
        <v>20</v>
      </c>
      <c r="H18" s="9">
        <v>20</v>
      </c>
      <c r="I18" s="9">
        <f>SUM(E18:H18)</f>
        <v>80</v>
      </c>
      <c r="J18" s="17">
        <f t="shared" si="3"/>
        <v>84</v>
      </c>
      <c r="K18" s="9">
        <v>10</v>
      </c>
      <c r="L18" s="12">
        <f t="shared" si="0"/>
        <v>83.333333333333343</v>
      </c>
      <c r="M18" s="9">
        <v>25</v>
      </c>
      <c r="N18" s="9">
        <v>28</v>
      </c>
      <c r="O18" s="9">
        <v>45</v>
      </c>
      <c r="P18" s="12">
        <f t="shared" si="1"/>
        <v>98</v>
      </c>
      <c r="Q18" s="19">
        <f t="shared" si="2"/>
        <v>92.133333333333326</v>
      </c>
    </row>
    <row r="19" spans="1:17" ht="15.6" customHeight="1" x14ac:dyDescent="0.3">
      <c r="A19" s="9">
        <v>12</v>
      </c>
      <c r="B19" s="6" t="s">
        <v>23</v>
      </c>
      <c r="C19" s="11">
        <v>75</v>
      </c>
      <c r="D19" s="9">
        <v>80</v>
      </c>
      <c r="E19" s="9">
        <v>25</v>
      </c>
      <c r="F19" s="9">
        <v>25</v>
      </c>
      <c r="G19" s="9">
        <v>20</v>
      </c>
      <c r="H19" s="9">
        <v>20</v>
      </c>
      <c r="I19" s="9">
        <f>SUM(E19:H19)</f>
        <v>90</v>
      </c>
      <c r="J19" s="17">
        <f t="shared" si="3"/>
        <v>86</v>
      </c>
      <c r="K19" s="9">
        <v>9</v>
      </c>
      <c r="L19" s="12">
        <f t="shared" si="0"/>
        <v>75</v>
      </c>
      <c r="M19" s="9">
        <v>25</v>
      </c>
      <c r="N19" s="9">
        <v>30</v>
      </c>
      <c r="O19" s="9">
        <v>35</v>
      </c>
      <c r="P19" s="12">
        <f t="shared" si="1"/>
        <v>90</v>
      </c>
      <c r="Q19" s="19">
        <f t="shared" si="2"/>
        <v>84</v>
      </c>
    </row>
    <row r="20" spans="1:17" ht="15.6" customHeight="1" x14ac:dyDescent="0.3">
      <c r="A20" s="9">
        <v>13</v>
      </c>
      <c r="B20" s="6" t="s">
        <v>24</v>
      </c>
      <c r="C20" s="37">
        <v>75</v>
      </c>
      <c r="D20" s="9">
        <v>80</v>
      </c>
      <c r="E20" s="9">
        <v>15</v>
      </c>
      <c r="F20" s="9">
        <v>25</v>
      </c>
      <c r="G20" s="9">
        <v>20</v>
      </c>
      <c r="H20" s="9">
        <v>20</v>
      </c>
      <c r="I20" s="9">
        <f>SUM(E20:H20)</f>
        <v>80</v>
      </c>
      <c r="J20" s="17">
        <f t="shared" si="3"/>
        <v>80</v>
      </c>
      <c r="K20" s="9">
        <v>10</v>
      </c>
      <c r="L20" s="12">
        <f t="shared" si="0"/>
        <v>83.333333333333343</v>
      </c>
      <c r="M20" s="9">
        <v>10</v>
      </c>
      <c r="N20" s="9">
        <v>10</v>
      </c>
      <c r="O20" s="9">
        <v>15</v>
      </c>
      <c r="P20" s="12">
        <f t="shared" si="1"/>
        <v>35</v>
      </c>
      <c r="Q20" s="19">
        <f t="shared" si="2"/>
        <v>54.333333333333336</v>
      </c>
    </row>
    <row r="21" spans="1:17" ht="15.6" customHeight="1" x14ac:dyDescent="0.3">
      <c r="A21" s="9">
        <v>14</v>
      </c>
      <c r="B21" s="6" t="s">
        <v>25</v>
      </c>
      <c r="C21" s="11">
        <v>75</v>
      </c>
      <c r="D21" s="9">
        <v>60</v>
      </c>
      <c r="E21" s="9">
        <v>25</v>
      </c>
      <c r="F21" s="9">
        <v>25</v>
      </c>
      <c r="G21" s="9">
        <v>20</v>
      </c>
      <c r="H21" s="9">
        <v>20</v>
      </c>
      <c r="I21" s="9">
        <f>SUM(E21:H21)</f>
        <v>90</v>
      </c>
      <c r="J21" s="17">
        <f t="shared" si="3"/>
        <v>78</v>
      </c>
      <c r="K21" s="9">
        <v>12</v>
      </c>
      <c r="L21" s="12">
        <f t="shared" si="0"/>
        <v>100</v>
      </c>
      <c r="M21" s="9">
        <v>25</v>
      </c>
      <c r="N21" s="9">
        <v>30</v>
      </c>
      <c r="O21" s="9">
        <v>45</v>
      </c>
      <c r="P21" s="12">
        <f t="shared" si="1"/>
        <v>100</v>
      </c>
      <c r="Q21" s="19">
        <f t="shared" si="2"/>
        <v>100</v>
      </c>
    </row>
    <row r="22" spans="1:17" ht="15.6" customHeight="1" x14ac:dyDescent="0.3">
      <c r="A22" s="9">
        <v>15</v>
      </c>
      <c r="B22" s="6" t="s">
        <v>60</v>
      </c>
      <c r="C22" s="37">
        <v>75</v>
      </c>
      <c r="D22" s="9">
        <v>60</v>
      </c>
      <c r="E22" s="9">
        <v>15</v>
      </c>
      <c r="F22" s="9">
        <v>25</v>
      </c>
      <c r="G22" s="9">
        <v>15</v>
      </c>
      <c r="H22" s="9">
        <v>20</v>
      </c>
      <c r="I22" s="9">
        <f>SUM(E22:H22)</f>
        <v>75</v>
      </c>
      <c r="J22" s="17">
        <f t="shared" si="3"/>
        <v>69</v>
      </c>
      <c r="K22" s="9">
        <v>10</v>
      </c>
      <c r="L22" s="12">
        <f t="shared" si="0"/>
        <v>83.333333333333343</v>
      </c>
      <c r="M22" s="9">
        <v>25</v>
      </c>
      <c r="N22" s="9">
        <v>30</v>
      </c>
      <c r="O22" s="9">
        <v>35</v>
      </c>
      <c r="P22" s="12">
        <f t="shared" si="1"/>
        <v>90</v>
      </c>
      <c r="Q22" s="19">
        <f t="shared" si="2"/>
        <v>87.333333333333343</v>
      </c>
    </row>
    <row r="23" spans="1:17" ht="15.6" customHeight="1" x14ac:dyDescent="0.3">
      <c r="A23" s="9">
        <v>16</v>
      </c>
      <c r="B23" s="6" t="s">
        <v>26</v>
      </c>
      <c r="C23" s="11">
        <v>75</v>
      </c>
      <c r="D23" s="9">
        <v>80</v>
      </c>
      <c r="E23" s="9">
        <v>15</v>
      </c>
      <c r="F23" s="9">
        <v>20</v>
      </c>
      <c r="G23" s="9">
        <v>15</v>
      </c>
      <c r="H23" s="9">
        <v>20</v>
      </c>
      <c r="I23" s="9">
        <f>SUM(E23:H23)</f>
        <v>70</v>
      </c>
      <c r="J23" s="17">
        <f t="shared" si="3"/>
        <v>74</v>
      </c>
      <c r="K23" s="9">
        <v>10</v>
      </c>
      <c r="L23" s="12">
        <f t="shared" si="0"/>
        <v>83.333333333333343</v>
      </c>
      <c r="M23" s="9">
        <v>25</v>
      </c>
      <c r="N23" s="9">
        <v>20</v>
      </c>
      <c r="O23" s="9">
        <v>40</v>
      </c>
      <c r="P23" s="12">
        <f t="shared" si="1"/>
        <v>85</v>
      </c>
      <c r="Q23" s="19">
        <f t="shared" si="2"/>
        <v>84.333333333333343</v>
      </c>
    </row>
    <row r="24" spans="1:17" ht="15.6" customHeight="1" x14ac:dyDescent="0.3">
      <c r="A24" s="9">
        <v>17</v>
      </c>
      <c r="B24" s="6" t="s">
        <v>27</v>
      </c>
      <c r="C24" s="37">
        <v>75</v>
      </c>
      <c r="D24" s="9">
        <v>80</v>
      </c>
      <c r="E24" s="9">
        <v>25</v>
      </c>
      <c r="F24" s="9">
        <v>25</v>
      </c>
      <c r="G24" s="9">
        <v>20</v>
      </c>
      <c r="H24" s="9">
        <v>20</v>
      </c>
      <c r="I24" s="9">
        <f>SUM(E24:H24)</f>
        <v>90</v>
      </c>
      <c r="J24" s="17">
        <f t="shared" si="3"/>
        <v>86</v>
      </c>
      <c r="K24" s="9">
        <v>11</v>
      </c>
      <c r="L24" s="12">
        <f t="shared" si="0"/>
        <v>91.666666666666657</v>
      </c>
      <c r="M24" s="9">
        <v>25</v>
      </c>
      <c r="N24" s="9">
        <v>30</v>
      </c>
      <c r="O24" s="9">
        <v>43</v>
      </c>
      <c r="P24" s="12">
        <f t="shared" si="1"/>
        <v>98</v>
      </c>
      <c r="Q24" s="19">
        <f t="shared" si="2"/>
        <v>95.466666666666669</v>
      </c>
    </row>
    <row r="25" spans="1:17" ht="15.6" customHeight="1" x14ac:dyDescent="0.3">
      <c r="A25" s="9">
        <v>18</v>
      </c>
      <c r="B25" s="6" t="s">
        <v>28</v>
      </c>
      <c r="C25" s="11">
        <v>75</v>
      </c>
      <c r="D25" s="9">
        <v>100</v>
      </c>
      <c r="E25" s="9">
        <v>25</v>
      </c>
      <c r="F25" s="9">
        <v>25</v>
      </c>
      <c r="G25" s="9">
        <v>18</v>
      </c>
      <c r="H25" s="9">
        <v>15</v>
      </c>
      <c r="I25" s="9">
        <f>SUM(E25:H25)</f>
        <v>83</v>
      </c>
      <c r="J25" s="17">
        <f t="shared" si="3"/>
        <v>89.8</v>
      </c>
      <c r="K25" s="9">
        <v>10</v>
      </c>
      <c r="L25" s="12">
        <f t="shared" si="0"/>
        <v>83.333333333333343</v>
      </c>
      <c r="M25" s="9">
        <v>25</v>
      </c>
      <c r="N25" s="9">
        <v>30</v>
      </c>
      <c r="O25" s="9">
        <v>45</v>
      </c>
      <c r="P25" s="12">
        <f t="shared" si="1"/>
        <v>100</v>
      </c>
      <c r="Q25" s="19">
        <f t="shared" si="2"/>
        <v>93.333333333333343</v>
      </c>
    </row>
    <row r="26" spans="1:17" ht="15.6" customHeight="1" x14ac:dyDescent="0.3">
      <c r="A26" s="9">
        <v>19</v>
      </c>
      <c r="B26" s="6" t="s">
        <v>29</v>
      </c>
      <c r="C26" s="37">
        <v>75</v>
      </c>
      <c r="D26" s="9">
        <v>60</v>
      </c>
      <c r="E26" s="9">
        <v>25</v>
      </c>
      <c r="F26" s="9">
        <v>25</v>
      </c>
      <c r="G26" s="9">
        <v>18</v>
      </c>
      <c r="H26" s="9">
        <v>15</v>
      </c>
      <c r="I26" s="9">
        <f>SUM(E26:H26)</f>
        <v>83</v>
      </c>
      <c r="J26" s="17">
        <f t="shared" si="3"/>
        <v>73.8</v>
      </c>
      <c r="K26" s="9">
        <v>9</v>
      </c>
      <c r="L26" s="12">
        <f t="shared" si="0"/>
        <v>75</v>
      </c>
      <c r="M26" s="9">
        <v>15</v>
      </c>
      <c r="N26" s="9">
        <v>10</v>
      </c>
      <c r="O26" s="9">
        <v>25</v>
      </c>
      <c r="P26" s="12">
        <f t="shared" si="1"/>
        <v>50</v>
      </c>
      <c r="Q26" s="19">
        <f t="shared" si="2"/>
        <v>60</v>
      </c>
    </row>
    <row r="27" spans="1:17" ht="15.6" customHeight="1" x14ac:dyDescent="0.3">
      <c r="A27" s="9">
        <v>20</v>
      </c>
      <c r="B27" s="6" t="s">
        <v>30</v>
      </c>
      <c r="C27" s="11">
        <v>75</v>
      </c>
      <c r="D27" s="9">
        <v>70</v>
      </c>
      <c r="E27" s="9">
        <v>25</v>
      </c>
      <c r="F27" s="9">
        <v>25</v>
      </c>
      <c r="G27" s="9">
        <v>20</v>
      </c>
      <c r="H27" s="9">
        <v>20</v>
      </c>
      <c r="I27" s="9">
        <f>SUM(E27:H27)</f>
        <v>90</v>
      </c>
      <c r="J27" s="17">
        <f t="shared" si="3"/>
        <v>82</v>
      </c>
      <c r="K27" s="9">
        <v>12</v>
      </c>
      <c r="L27" s="12">
        <f t="shared" si="0"/>
        <v>100</v>
      </c>
      <c r="M27" s="9">
        <v>23</v>
      </c>
      <c r="N27" s="9">
        <v>30</v>
      </c>
      <c r="O27" s="9">
        <v>35</v>
      </c>
      <c r="P27" s="12">
        <f t="shared" si="1"/>
        <v>88</v>
      </c>
      <c r="Q27" s="19">
        <f t="shared" si="2"/>
        <v>92.8</v>
      </c>
    </row>
    <row r="28" spans="1:17" ht="15.6" customHeight="1" x14ac:dyDescent="0.3">
      <c r="A28" s="9">
        <v>21</v>
      </c>
      <c r="B28" s="6" t="s">
        <v>31</v>
      </c>
      <c r="C28" s="37">
        <v>75</v>
      </c>
      <c r="D28" s="9">
        <v>90</v>
      </c>
      <c r="E28" s="9">
        <v>25</v>
      </c>
      <c r="F28" s="9">
        <v>25</v>
      </c>
      <c r="G28" s="9">
        <v>20</v>
      </c>
      <c r="H28" s="9">
        <v>20</v>
      </c>
      <c r="I28" s="9">
        <f>SUM(E28:H28)</f>
        <v>90</v>
      </c>
      <c r="J28" s="17">
        <f t="shared" si="3"/>
        <v>90</v>
      </c>
      <c r="K28" s="9">
        <v>11</v>
      </c>
      <c r="L28" s="12">
        <f t="shared" si="0"/>
        <v>91.666666666666657</v>
      </c>
      <c r="M28" s="9">
        <v>25</v>
      </c>
      <c r="N28" s="9">
        <v>25</v>
      </c>
      <c r="O28" s="9">
        <v>45</v>
      </c>
      <c r="P28" s="12">
        <f t="shared" si="1"/>
        <v>95</v>
      </c>
      <c r="Q28" s="19">
        <f t="shared" si="2"/>
        <v>93.666666666666657</v>
      </c>
    </row>
    <row r="29" spans="1:17" ht="15.6" customHeight="1" x14ac:dyDescent="0.3">
      <c r="A29" s="9">
        <v>22</v>
      </c>
      <c r="B29" s="6" t="s">
        <v>32</v>
      </c>
      <c r="C29" s="11">
        <v>75</v>
      </c>
      <c r="D29" s="9">
        <v>80</v>
      </c>
      <c r="E29" s="9">
        <v>25</v>
      </c>
      <c r="F29" s="9">
        <v>25</v>
      </c>
      <c r="G29" s="9">
        <v>18</v>
      </c>
      <c r="H29" s="9">
        <v>10</v>
      </c>
      <c r="I29" s="9">
        <f>SUM(E29:H29)</f>
        <v>78</v>
      </c>
      <c r="J29" s="17">
        <f t="shared" si="3"/>
        <v>78.8</v>
      </c>
      <c r="K29" s="9">
        <v>11</v>
      </c>
      <c r="L29" s="12">
        <f t="shared" si="0"/>
        <v>91.666666666666657</v>
      </c>
      <c r="M29" s="9">
        <v>25</v>
      </c>
      <c r="N29" s="9">
        <v>30</v>
      </c>
      <c r="O29" s="9">
        <v>0</v>
      </c>
      <c r="P29" s="12">
        <f t="shared" si="1"/>
        <v>55</v>
      </c>
      <c r="Q29" s="19">
        <f t="shared" si="2"/>
        <v>69.666666666666657</v>
      </c>
    </row>
    <row r="30" spans="1:17" ht="15.6" customHeight="1" x14ac:dyDescent="0.3">
      <c r="A30" s="9">
        <v>23</v>
      </c>
      <c r="B30" s="6" t="s">
        <v>33</v>
      </c>
      <c r="C30" s="37">
        <v>75</v>
      </c>
      <c r="D30" s="9">
        <v>80</v>
      </c>
      <c r="E30" s="9">
        <v>25</v>
      </c>
      <c r="F30" s="9">
        <v>25</v>
      </c>
      <c r="G30" s="9">
        <v>20</v>
      </c>
      <c r="H30" s="9">
        <v>20</v>
      </c>
      <c r="I30" s="9">
        <f>SUM(E30:H30)</f>
        <v>90</v>
      </c>
      <c r="J30" s="17">
        <f t="shared" si="3"/>
        <v>86</v>
      </c>
      <c r="K30" s="9">
        <v>9</v>
      </c>
      <c r="L30" s="12">
        <f t="shared" si="0"/>
        <v>75</v>
      </c>
      <c r="M30" s="9">
        <v>23</v>
      </c>
      <c r="N30" s="9">
        <v>28</v>
      </c>
      <c r="O30" s="9">
        <v>30</v>
      </c>
      <c r="P30" s="12">
        <f t="shared" si="1"/>
        <v>81</v>
      </c>
      <c r="Q30" s="19">
        <f t="shared" si="2"/>
        <v>78.599999999999994</v>
      </c>
    </row>
    <row r="31" spans="1:17" ht="15.6" customHeight="1" x14ac:dyDescent="0.3">
      <c r="A31" s="9">
        <v>24</v>
      </c>
      <c r="B31" s="6" t="s">
        <v>34</v>
      </c>
      <c r="C31" s="11">
        <v>75</v>
      </c>
      <c r="D31" s="9">
        <v>100</v>
      </c>
      <c r="E31" s="9">
        <v>25</v>
      </c>
      <c r="F31" s="9">
        <v>25</v>
      </c>
      <c r="G31" s="9">
        <v>20</v>
      </c>
      <c r="H31" s="9">
        <v>20</v>
      </c>
      <c r="I31" s="9">
        <f>SUM(E31:H31)</f>
        <v>90</v>
      </c>
      <c r="J31" s="17">
        <f t="shared" si="3"/>
        <v>94</v>
      </c>
      <c r="K31" s="9">
        <v>12</v>
      </c>
      <c r="L31" s="12">
        <f t="shared" si="0"/>
        <v>100</v>
      </c>
      <c r="M31" s="9">
        <v>25</v>
      </c>
      <c r="N31" s="9">
        <v>30</v>
      </c>
      <c r="O31" s="9">
        <v>45</v>
      </c>
      <c r="P31" s="12">
        <f t="shared" si="1"/>
        <v>100</v>
      </c>
      <c r="Q31" s="19">
        <f t="shared" si="2"/>
        <v>100</v>
      </c>
    </row>
    <row r="32" spans="1:17" ht="15.6" customHeight="1" x14ac:dyDescent="0.3">
      <c r="A32" s="9">
        <v>25</v>
      </c>
      <c r="B32" s="6" t="s">
        <v>35</v>
      </c>
      <c r="C32" s="37">
        <v>75</v>
      </c>
      <c r="D32" s="9">
        <v>50</v>
      </c>
      <c r="E32" s="9">
        <v>25</v>
      </c>
      <c r="F32" s="9">
        <v>25</v>
      </c>
      <c r="G32" s="9">
        <v>20</v>
      </c>
      <c r="H32" s="9">
        <v>20</v>
      </c>
      <c r="I32" s="9">
        <f>SUM(E32:H32)</f>
        <v>90</v>
      </c>
      <c r="J32" s="17">
        <f t="shared" si="3"/>
        <v>74</v>
      </c>
      <c r="K32" s="9">
        <v>11</v>
      </c>
      <c r="L32" s="12">
        <f t="shared" si="0"/>
        <v>91.666666666666657</v>
      </c>
      <c r="M32" s="9">
        <v>23</v>
      </c>
      <c r="N32" s="9">
        <v>30</v>
      </c>
      <c r="O32" s="9">
        <v>45</v>
      </c>
      <c r="P32" s="12">
        <f t="shared" si="1"/>
        <v>98</v>
      </c>
      <c r="Q32" s="19">
        <f t="shared" si="2"/>
        <v>95.466666666666669</v>
      </c>
    </row>
    <row r="33" spans="1:17" ht="15.6" customHeight="1" x14ac:dyDescent="0.3">
      <c r="A33" s="9">
        <v>26</v>
      </c>
      <c r="B33" s="6" t="s">
        <v>36</v>
      </c>
      <c r="C33" s="11">
        <v>75</v>
      </c>
      <c r="D33" s="9">
        <v>80</v>
      </c>
      <c r="E33" s="9">
        <v>25</v>
      </c>
      <c r="F33" s="9">
        <v>25</v>
      </c>
      <c r="G33" s="9">
        <v>20</v>
      </c>
      <c r="H33" s="9">
        <v>20</v>
      </c>
      <c r="I33" s="9">
        <f>SUM(E33:H33)</f>
        <v>90</v>
      </c>
      <c r="J33" s="17">
        <f t="shared" si="3"/>
        <v>86</v>
      </c>
      <c r="K33" s="9">
        <v>9</v>
      </c>
      <c r="L33" s="12">
        <f t="shared" si="0"/>
        <v>75</v>
      </c>
      <c r="M33" s="9">
        <v>25</v>
      </c>
      <c r="N33" s="9">
        <v>30</v>
      </c>
      <c r="O33" s="9">
        <v>35</v>
      </c>
      <c r="P33" s="12">
        <f t="shared" si="1"/>
        <v>90</v>
      </c>
      <c r="Q33" s="19">
        <f t="shared" si="2"/>
        <v>84</v>
      </c>
    </row>
    <row r="34" spans="1:17" ht="15.6" customHeight="1" x14ac:dyDescent="0.3">
      <c r="A34" s="9">
        <v>27</v>
      </c>
      <c r="B34" s="6" t="s">
        <v>37</v>
      </c>
      <c r="C34" s="37">
        <v>75</v>
      </c>
      <c r="D34" s="9">
        <v>70</v>
      </c>
      <c r="E34" s="9">
        <v>25</v>
      </c>
      <c r="F34" s="9">
        <v>25</v>
      </c>
      <c r="G34" s="9">
        <v>20</v>
      </c>
      <c r="H34" s="9">
        <v>20</v>
      </c>
      <c r="I34" s="9">
        <f>SUM(E34:H34)</f>
        <v>90</v>
      </c>
      <c r="J34" s="17">
        <f t="shared" si="3"/>
        <v>82</v>
      </c>
      <c r="K34" s="9">
        <v>10</v>
      </c>
      <c r="L34" s="12">
        <f t="shared" si="0"/>
        <v>83.333333333333343</v>
      </c>
      <c r="M34" s="9">
        <v>23</v>
      </c>
      <c r="N34" s="9">
        <v>25</v>
      </c>
      <c r="O34" s="9">
        <v>45</v>
      </c>
      <c r="P34" s="12">
        <f t="shared" si="1"/>
        <v>93</v>
      </c>
      <c r="Q34" s="19">
        <f t="shared" si="2"/>
        <v>89.133333333333326</v>
      </c>
    </row>
    <row r="35" spans="1:17" ht="15.6" customHeight="1" x14ac:dyDescent="0.3">
      <c r="A35" s="9">
        <v>28</v>
      </c>
      <c r="B35" s="6" t="s">
        <v>38</v>
      </c>
      <c r="C35" s="11">
        <v>75</v>
      </c>
      <c r="D35" s="9">
        <v>60</v>
      </c>
      <c r="E35" s="9">
        <v>25</v>
      </c>
      <c r="F35" s="9">
        <v>25</v>
      </c>
      <c r="G35" s="9">
        <v>20</v>
      </c>
      <c r="H35" s="9">
        <v>20</v>
      </c>
      <c r="I35" s="9">
        <f>SUM(E35:H35)</f>
        <v>90</v>
      </c>
      <c r="J35" s="17">
        <f t="shared" si="3"/>
        <v>78</v>
      </c>
      <c r="K35" s="9">
        <v>10</v>
      </c>
      <c r="L35" s="12">
        <f t="shared" si="0"/>
        <v>83.333333333333343</v>
      </c>
      <c r="M35" s="9">
        <v>23</v>
      </c>
      <c r="N35" s="9">
        <v>29</v>
      </c>
      <c r="O35" s="9">
        <v>45</v>
      </c>
      <c r="P35" s="12">
        <f t="shared" si="1"/>
        <v>97</v>
      </c>
      <c r="Q35" s="19">
        <f t="shared" si="2"/>
        <v>91.533333333333331</v>
      </c>
    </row>
  </sheetData>
  <mergeCells count="10">
    <mergeCell ref="A5:A7"/>
    <mergeCell ref="B5:B7"/>
    <mergeCell ref="C5:C7"/>
    <mergeCell ref="J5:J7"/>
    <mergeCell ref="Q5:Q7"/>
    <mergeCell ref="K5:P5"/>
    <mergeCell ref="D5:I5"/>
    <mergeCell ref="K6:L6"/>
    <mergeCell ref="M6:P6"/>
    <mergeCell ref="E6:I6"/>
  </mergeCells>
  <phoneticPr fontId="0" type="noConversion"/>
  <pageMargins left="0.69991251615088756" right="0.69991251615088756" top="0.74990626395218019" bottom="0.74990626395218019" header="0.29996251027415122" footer="0.29996251027415122"/>
  <pageSetup paperSize="9"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B17"/>
  <sheetViews>
    <sheetView zoomScaleNormal="100" workbookViewId="0">
      <selection activeCell="B6" sqref="B6"/>
    </sheetView>
  </sheetViews>
  <sheetFormatPr defaultColWidth="9" defaultRowHeight="14.4" x14ac:dyDescent="0.3"/>
  <cols>
    <col min="2" max="2" width="15.109375" customWidth="1"/>
  </cols>
  <sheetData>
    <row r="4" spans="2:2" ht="14.4" customHeight="1" x14ac:dyDescent="0.3">
      <c r="B4" t="s">
        <v>39</v>
      </c>
    </row>
    <row r="5" spans="2:2" ht="14.4" customHeight="1" x14ac:dyDescent="0.3">
      <c r="B5" t="s">
        <v>40</v>
      </c>
    </row>
    <row r="6" spans="2:2" ht="14.4" customHeight="1" x14ac:dyDescent="0.3">
      <c r="B6" t="s">
        <v>41</v>
      </c>
    </row>
    <row r="7" spans="2:2" ht="14.4" customHeight="1" x14ac:dyDescent="0.3">
      <c r="B7" t="s">
        <v>42</v>
      </c>
    </row>
    <row r="8" spans="2:2" ht="14.4" customHeight="1" x14ac:dyDescent="0.3">
      <c r="B8" t="s">
        <v>43</v>
      </c>
    </row>
    <row r="9" spans="2:2" ht="14.4" customHeight="1" x14ac:dyDescent="0.3">
      <c r="B9" t="s">
        <v>44</v>
      </c>
    </row>
    <row r="10" spans="2:2" ht="14.4" customHeight="1" x14ac:dyDescent="0.3">
      <c r="B10" t="s">
        <v>45</v>
      </c>
    </row>
    <row r="11" spans="2:2" ht="14.4" customHeight="1" x14ac:dyDescent="0.3">
      <c r="B11" t="s">
        <v>46</v>
      </c>
    </row>
    <row r="12" spans="2:2" ht="14.4" customHeight="1" x14ac:dyDescent="0.3">
      <c r="B12" t="s">
        <v>47</v>
      </c>
    </row>
    <row r="13" spans="2:2" ht="14.4" customHeight="1" x14ac:dyDescent="0.3">
      <c r="B13" t="s">
        <v>48</v>
      </c>
    </row>
    <row r="14" spans="2:2" ht="14.4" customHeight="1" x14ac:dyDescent="0.3">
      <c r="B14" t="s">
        <v>49</v>
      </c>
    </row>
    <row r="15" spans="2:2" ht="14.4" customHeight="1" x14ac:dyDescent="0.3">
      <c r="B15" t="s">
        <v>50</v>
      </c>
    </row>
    <row r="16" spans="2:2" ht="14.4" customHeight="1" x14ac:dyDescent="0.3">
      <c r="B16" t="s">
        <v>51</v>
      </c>
    </row>
    <row r="17" spans="2:2" ht="14.4" customHeight="1" x14ac:dyDescent="0.3">
      <c r="B17" t="s">
        <v>52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59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NILAI UAS</vt:lpstr>
      <vt:lpstr>KUNCI JAWABAN 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</dc:creator>
  <cp:lastModifiedBy>MTI Canduang</cp:lastModifiedBy>
  <cp:revision>0</cp:revision>
  <cp:lastPrinted>2025-12-18T02:05:07Z</cp:lastPrinted>
  <dcterms:created xsi:type="dcterms:W3CDTF">2015-06-05T18:17:20Z</dcterms:created>
  <dcterms:modified xsi:type="dcterms:W3CDTF">2025-12-18T02:08:18Z</dcterms:modified>
</cp:coreProperties>
</file>