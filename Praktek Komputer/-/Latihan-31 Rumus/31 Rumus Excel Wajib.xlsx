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drawings/drawing7.xml" ContentType="application/vnd.openxmlformats-officedocument.drawing+xml"/>
  <Override PartName="/xl/ctrlProps/ctrlProp6.xml" ContentType="application/vnd.ms-excel.controlproperties+xml"/>
  <Override PartName="/xl/drawings/drawing8.xml" ContentType="application/vnd.openxmlformats-officedocument.drawing+xml"/>
  <Override PartName="/xl/ctrlProps/ctrlProp7.xml" ContentType="application/vnd.ms-excel.controlproperties+xml"/>
  <Override PartName="/xl/drawings/drawing9.xml" ContentType="application/vnd.openxmlformats-officedocument.drawing+xml"/>
  <Override PartName="/xl/ctrlProps/ctrlProp8.xml" ContentType="application/vnd.ms-excel.controlproperties+xml"/>
  <Override PartName="/xl/drawings/drawing10.xml" ContentType="application/vnd.openxmlformats-officedocument.drawing+xml"/>
  <Override PartName="/xl/ctrlProps/ctrlProp9.xml" ContentType="application/vnd.ms-excel.controlproperties+xml"/>
  <Override PartName="/xl/drawings/drawing11.xml" ContentType="application/vnd.openxmlformats-officedocument.drawing+xml"/>
  <Override PartName="/xl/ctrlProps/ctrlProp10.xml" ContentType="application/vnd.ms-excel.controlproperties+xml"/>
  <Override PartName="/xl/drawings/drawing12.xml" ContentType="application/vnd.openxmlformats-officedocument.drawing+xml"/>
  <Override PartName="/xl/ctrlProps/ctrlProp11.xml" ContentType="application/vnd.ms-excel.controlproperties+xml"/>
  <Override PartName="/xl/drawings/drawing13.xml" ContentType="application/vnd.openxmlformats-officedocument.drawing+xml"/>
  <Override PartName="/xl/ctrlProps/ctrlProp12.xml" ContentType="application/vnd.ms-excel.controlproperties+xml"/>
  <Override PartName="/xl/drawings/drawing14.xml" ContentType="application/vnd.openxmlformats-officedocument.drawing+xml"/>
  <Override PartName="/xl/ctrlProps/ctrlProp13.xml" ContentType="application/vnd.ms-excel.controlproperties+xml"/>
  <Override PartName="/xl/drawings/drawing15.xml" ContentType="application/vnd.openxmlformats-officedocument.drawing+xml"/>
  <Override PartName="/xl/ctrlProps/ctrlProp14.xml" ContentType="application/vnd.ms-excel.controlproperties+xml"/>
  <Override PartName="/xl/drawings/drawing16.xml" ContentType="application/vnd.openxmlformats-officedocument.drawing+xml"/>
  <Override PartName="/xl/ctrlProps/ctrlProp15.xml" ContentType="application/vnd.ms-excel.controlproperties+xml"/>
  <Override PartName="/xl/drawings/drawing17.xml" ContentType="application/vnd.openxmlformats-officedocument.drawing+xml"/>
  <Override PartName="/xl/ctrlProps/ctrlProp16.xml" ContentType="application/vnd.ms-excel.controlproperties+xml"/>
  <Override PartName="/xl/drawings/drawing18.xml" ContentType="application/vnd.openxmlformats-officedocument.drawing+xml"/>
  <Override PartName="/xl/ctrlProps/ctrlProp17.xml" ContentType="application/vnd.ms-excel.controlproperties+xml"/>
  <Override PartName="/xl/drawings/drawing19.xml" ContentType="application/vnd.openxmlformats-officedocument.drawing+xml"/>
  <Override PartName="/xl/ctrlProps/ctrlProp18.xml" ContentType="application/vnd.ms-excel.controlproperties+xml"/>
  <Override PartName="/xl/drawings/drawing20.xml" ContentType="application/vnd.openxmlformats-officedocument.drawing+xml"/>
  <Override PartName="/xl/ctrlProps/ctrlProp19.xml" ContentType="application/vnd.ms-excel.controlproperties+xml"/>
  <Override PartName="/xl/drawings/drawing21.xml" ContentType="application/vnd.openxmlformats-officedocument.drawing+xml"/>
  <Override PartName="/xl/ctrlProps/ctrlProp20.xml" ContentType="application/vnd.ms-excel.controlproperties+xml"/>
  <Override PartName="/xl/drawings/drawing22.xml" ContentType="application/vnd.openxmlformats-officedocument.drawing+xml"/>
  <Override PartName="/xl/ctrlProps/ctrlProp21.xml" ContentType="application/vnd.ms-excel.controlproperties+xml"/>
  <Override PartName="/xl/drawings/drawing23.xml" ContentType="application/vnd.openxmlformats-officedocument.drawing+xml"/>
  <Override PartName="/xl/ctrlProps/ctrlProp22.xml" ContentType="application/vnd.ms-excel.controlproperties+xml"/>
  <Override PartName="/xl/drawings/drawing24.xml" ContentType="application/vnd.openxmlformats-officedocument.drawing+xml"/>
  <Override PartName="/xl/ctrlProps/ctrlProp23.xml" ContentType="application/vnd.ms-excel.controlproperties+xml"/>
  <Override PartName="/xl/drawings/drawing25.xml" ContentType="application/vnd.openxmlformats-officedocument.drawing+xml"/>
  <Override PartName="/xl/ctrlProps/ctrlProp24.xml" ContentType="application/vnd.ms-excel.controlproperties+xml"/>
  <Override PartName="/xl/drawings/drawing26.xml" ContentType="application/vnd.openxmlformats-officedocument.drawing+xml"/>
  <Override PartName="/xl/ctrlProps/ctrlProp25.xml" ContentType="application/vnd.ms-excel.controlproperties+xml"/>
  <Override PartName="/xl/drawings/drawing27.xml" ContentType="application/vnd.openxmlformats-officedocument.drawing+xml"/>
  <Override PartName="/xl/ctrlProps/ctrlProp26.xml" ContentType="application/vnd.ms-excel.controlproperties+xml"/>
  <Override PartName="/xl/drawings/drawing28.xml" ContentType="application/vnd.openxmlformats-officedocument.drawing+xml"/>
  <Override PartName="/xl/ctrlProps/ctrlProp27.xml" ContentType="application/vnd.ms-excel.controlproperties+xml"/>
  <Override PartName="/xl/drawings/drawing29.xml" ContentType="application/vnd.openxmlformats-officedocument.drawing+xml"/>
  <Override PartName="/xl/ctrlProps/ctrlProp28.xml" ContentType="application/vnd.ms-excel.controlproperties+xml"/>
  <Override PartName="/xl/drawings/drawing30.xml" ContentType="application/vnd.openxmlformats-officedocument.drawing+xml"/>
  <Override PartName="/xl/ctrlProps/ctrlProp29.xml" ContentType="application/vnd.ms-excel.controlproperties+xml"/>
  <Override PartName="/xl/drawings/drawing31.xml" ContentType="application/vnd.openxmlformats-officedocument.drawing+xml"/>
  <Override PartName="/xl/ctrlProps/ctrlProp30.xml" ContentType="application/vnd.ms-excel.controlproperties+xml"/>
  <Override PartName="/xl/drawings/drawing32.xml" ContentType="application/vnd.openxmlformats-officedocument.drawing+xml"/>
  <Override PartName="/xl/ctrlProps/ctrlProp31.xml" ContentType="application/vnd.ms-excel.controlproperties+xml"/>
  <Override PartName="/xl/drawings/drawing33.xml" ContentType="application/vnd.openxmlformats-officedocument.drawing+xml"/>
  <Override PartName="/xl/ctrlProps/ctrlProp32.xml" ContentType="application/vnd.ms-excel.controlproperties+xml"/>
  <Override PartName="/xl/drawings/drawing34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35.xml" ContentType="application/vnd.openxmlformats-officedocument.drawing+xml"/>
  <Override PartName="/xl/ctrlProps/ctrlProp35.xml" ContentType="application/vnd.ms-excel.controlproperties+xml"/>
  <Override PartName="/xl/drawings/drawing36.xml" ContentType="application/vnd.openxmlformats-officedocument.drawing+xml"/>
  <Override PartName="/xl/ctrlProps/ctrlProp36.xml" ContentType="application/vnd.ms-excel.controlproperties+xml"/>
  <Override PartName="/xl/drawings/drawing37.xml" ContentType="application/vnd.openxmlformats-officedocument.drawing+xml"/>
  <Override PartName="/xl/ctrlProps/ctrlProp37.xml" ContentType="application/vnd.ms-excel.controlproperties+xml"/>
  <Override PartName="/xl/drawings/drawing38.xml" ContentType="application/vnd.openxmlformats-officedocument.drawing+xml"/>
  <Override PartName="/xl/ctrlProps/ctrlProp38.xml" ContentType="application/vnd.ms-excel.controlproperties+xml"/>
  <Override PartName="/xl/drawings/drawing39.xml" ContentType="application/vnd.openxmlformats-officedocument.drawing+xml"/>
  <Override PartName="/xl/ctrlProps/ctrlProp39.xml" ContentType="application/vnd.ms-excel.controlproperties+xml"/>
  <Override PartName="/xl/drawings/drawing40.xml" ContentType="application/vnd.openxmlformats-officedocument.drawing+xml"/>
  <Override PartName="/xl/ctrlProps/ctrlProp40.xml" ContentType="application/vnd.ms-excel.controlproperties+xml"/>
  <Override PartName="/xl/drawings/drawing41.xml" ContentType="application/vnd.openxmlformats-officedocument.drawing+xml"/>
  <Override PartName="/xl/ctrlProps/ctrlProp41.xml" ContentType="application/vnd.ms-excel.controlproperties+xml"/>
  <Override PartName="/xl/drawings/drawing42.xml" ContentType="application/vnd.openxmlformats-officedocument.drawing+xml"/>
  <Override PartName="/xl/ctrlProps/ctrlProp42.xml" ContentType="application/vnd.ms-excel.controlproperties+xml"/>
  <Override PartName="/xl/drawings/drawing43.xml" ContentType="application/vnd.openxmlformats-officedocument.drawing+xml"/>
  <Override PartName="/xl/ctrlProps/ctrlProp43.xml" ContentType="application/vnd.ms-excel.controlproperties+xml"/>
  <Override PartName="/xl/drawings/drawing44.xml" ContentType="application/vnd.openxmlformats-officedocument.drawing+xml"/>
  <Override PartName="/xl/ctrlProps/ctrlProp44.xml" ContentType="application/vnd.ms-excel.controlproperties+xml"/>
  <Override PartName="/xl/drawings/drawing45.xml" ContentType="application/vnd.openxmlformats-officedocument.drawing+xml"/>
  <Override PartName="/xl/ctrlProps/ctrlProp45.xml" ContentType="application/vnd.ms-excel.controlproperties+xml"/>
  <Override PartName="/xl/drawings/drawing46.xml" ContentType="application/vnd.openxmlformats-officedocument.drawing+xml"/>
  <Override PartName="/xl/ctrlProps/ctrlProp4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Y Labs\UIN Bukittinggi\Praktek Komputer\Prakom - Belajar Rumus Excell\Latihan-31 Rumus\"/>
    </mc:Choice>
  </mc:AlternateContent>
  <xr:revisionPtr revIDLastSave="0" documentId="13_ncr:1_{71393999-FAD4-49F3-B2F9-0CAA9EA27FE6}" xr6:coauthVersionLast="47" xr6:coauthVersionMax="47" xr10:uidLastSave="{00000000-0000-0000-0000-000000000000}"/>
  <bookViews>
    <workbookView xWindow="-108" yWindow="-108" windowWidth="23256" windowHeight="13176" tabRatio="962" activeTab="10" xr2:uid="{8F988DE2-59A3-4032-8A7D-2004E017EC69}"/>
  </bookViews>
  <sheets>
    <sheet name="Home" sheetId="1" r:id="rId1"/>
    <sheet name="MTK Dasar" sheetId="36" r:id="rId2"/>
    <sheet name="SUM" sheetId="3" r:id="rId3"/>
    <sheet name="SUM 1" sheetId="37" r:id="rId4"/>
    <sheet name="SUMIF" sheetId="4" r:id="rId5"/>
    <sheet name="SUMIF 1" sheetId="47" r:id="rId6"/>
    <sheet name="SUMIFS" sheetId="24" r:id="rId7"/>
    <sheet name="SUMIFS 2" sheetId="48" r:id="rId8"/>
    <sheet name="AVERAGE" sheetId="5" r:id="rId9"/>
    <sheet name="AVERAGE 2" sheetId="38" r:id="rId10"/>
    <sheet name="AVERAGEIF" sheetId="6" r:id="rId11"/>
    <sheet name="AVERAGEIF 2" sheetId="50" r:id="rId12"/>
    <sheet name="AVERAGEIFS" sheetId="25" r:id="rId13"/>
    <sheet name="AVERAGEIFS 2" sheetId="51" r:id="rId14"/>
    <sheet name="MAX" sheetId="27" r:id="rId15"/>
    <sheet name="MIN" sheetId="28" r:id="rId16"/>
    <sheet name="LARGE" sheetId="29" r:id="rId17"/>
    <sheet name="SMALL" sheetId="30" r:id="rId18"/>
    <sheet name="IF" sheetId="9" r:id="rId19"/>
    <sheet name="IFS" sheetId="39" r:id="rId20"/>
    <sheet name="IF(AND)" sheetId="40" r:id="rId21"/>
    <sheet name="IF(OR)" sheetId="41" r:id="rId22"/>
    <sheet name="COUNT" sheetId="10" r:id="rId23"/>
    <sheet name="COUNTA" sheetId="11" r:id="rId24"/>
    <sheet name="COUNTBLANK" sheetId="31" r:id="rId25"/>
    <sheet name="COUNTIF" sheetId="12" r:id="rId26"/>
    <sheet name="COUNTIFS" sheetId="32" r:id="rId27"/>
    <sheet name="PROPER" sheetId="13" r:id="rId28"/>
    <sheet name="UPPER" sheetId="14" r:id="rId29"/>
    <sheet name="LOWER" sheetId="15" r:id="rId30"/>
    <sheet name="3" sheetId="43" r:id="rId31"/>
    <sheet name="LEFT" sheetId="17" r:id="rId32"/>
    <sheet name="MID" sheetId="16" r:id="rId33"/>
    <sheet name="RIGHT" sheetId="18" r:id="rId34"/>
    <sheet name="LEN" sheetId="20" r:id="rId35"/>
    <sheet name="4" sheetId="59" r:id="rId36"/>
    <sheet name="TEXTJOIN" sheetId="57" r:id="rId37"/>
    <sheet name="TRIM" sheetId="60" r:id="rId38"/>
    <sheet name="VLOOKUP" sheetId="34" r:id="rId39"/>
    <sheet name="VLOOKUP 2" sheetId="52" r:id="rId40"/>
    <sheet name="VLOOKUP 3" sheetId="54" r:id="rId41"/>
    <sheet name="HLOOKUP" sheetId="35" r:id="rId42"/>
    <sheet name="HLOOKUP 2" sheetId="53" r:id="rId43"/>
    <sheet name="HLOOKUP 3" sheetId="55" r:id="rId44"/>
    <sheet name="PIVOT TABLE" sheetId="46" r:id="rId45"/>
    <sheet name="PIVOT TABLE 2" sheetId="56" r:id="rId46"/>
  </sheets>
  <definedNames>
    <definedName name="_xlnm._FilterDatabase" localSheetId="5" hidden="1">'SUMIF 1'!$B$2:$E$94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F148" i="56"/>
  <c r="F147" i="56"/>
  <c r="F146" i="56"/>
  <c r="F145" i="56"/>
  <c r="F144" i="56"/>
  <c r="F143" i="56"/>
  <c r="F142" i="56"/>
  <c r="F141" i="56"/>
  <c r="F140" i="56"/>
  <c r="F139" i="56"/>
  <c r="F138" i="56"/>
  <c r="F137" i="56"/>
  <c r="F136" i="56"/>
  <c r="F135" i="56"/>
  <c r="F134" i="56"/>
  <c r="F133" i="56"/>
  <c r="F132" i="56"/>
  <c r="F131" i="56"/>
  <c r="F130" i="56"/>
  <c r="F129" i="56"/>
  <c r="F128" i="56"/>
  <c r="F127" i="56"/>
  <c r="F126" i="56"/>
  <c r="F125" i="56"/>
  <c r="F124" i="56"/>
  <c r="F123" i="56"/>
  <c r="F122" i="56"/>
  <c r="F121" i="56"/>
  <c r="F120" i="56"/>
  <c r="F119" i="56"/>
  <c r="F118" i="56"/>
  <c r="F117" i="56"/>
  <c r="F116" i="56"/>
  <c r="F115" i="56"/>
  <c r="F114" i="56"/>
  <c r="F113" i="56"/>
  <c r="F112" i="56"/>
  <c r="F111" i="56"/>
  <c r="F110" i="56"/>
  <c r="F109" i="56"/>
  <c r="F108" i="56"/>
  <c r="F107" i="56"/>
  <c r="F106" i="56"/>
  <c r="F105" i="56"/>
  <c r="F104" i="56"/>
  <c r="F103" i="56"/>
  <c r="F102" i="56"/>
  <c r="F101" i="56"/>
  <c r="F100" i="56"/>
  <c r="F99" i="56"/>
  <c r="F98" i="56"/>
  <c r="F97" i="56"/>
  <c r="F96" i="56"/>
  <c r="F95" i="56"/>
  <c r="F94" i="56"/>
  <c r="F93" i="56"/>
  <c r="F92" i="56"/>
  <c r="F91" i="56"/>
  <c r="F90" i="56"/>
  <c r="F89" i="56"/>
  <c r="F88" i="56"/>
  <c r="F87" i="56"/>
  <c r="F86" i="56"/>
  <c r="F85" i="56"/>
  <c r="F84" i="56"/>
  <c r="F83" i="56"/>
  <c r="F82" i="56"/>
  <c r="F81" i="56"/>
  <c r="F80" i="56"/>
  <c r="F79" i="56"/>
  <c r="F78" i="56"/>
  <c r="F77" i="56"/>
  <c r="F76" i="56"/>
  <c r="F75" i="56"/>
  <c r="F74" i="56"/>
  <c r="F73" i="56"/>
  <c r="F72" i="56"/>
  <c r="F71" i="56"/>
  <c r="F70" i="56"/>
  <c r="F69" i="56"/>
  <c r="F68" i="56"/>
  <c r="F67" i="56"/>
  <c r="F66" i="56"/>
  <c r="F65" i="56"/>
  <c r="F64" i="56"/>
  <c r="F63" i="56"/>
  <c r="F62" i="56"/>
  <c r="F61" i="56"/>
  <c r="F60" i="56"/>
  <c r="F59" i="56"/>
  <c r="F58" i="56"/>
  <c r="F57" i="56"/>
  <c r="F56" i="56"/>
  <c r="F55" i="56"/>
  <c r="F54" i="56"/>
  <c r="F53" i="56"/>
  <c r="F52" i="56"/>
  <c r="F51" i="56"/>
  <c r="F50" i="56"/>
  <c r="F49" i="56"/>
  <c r="F48" i="56"/>
  <c r="F47" i="56"/>
  <c r="F46" i="56"/>
  <c r="F45" i="56"/>
  <c r="F44" i="56"/>
  <c r="F43" i="56"/>
  <c r="F42" i="56"/>
  <c r="F41" i="56"/>
  <c r="F40" i="56"/>
  <c r="F39" i="56"/>
  <c r="F38" i="56"/>
  <c r="F37" i="56"/>
  <c r="F36" i="56"/>
  <c r="F35" i="56"/>
  <c r="F34" i="56"/>
  <c r="F33" i="56"/>
  <c r="F32" i="56"/>
  <c r="F31" i="56"/>
  <c r="F30" i="56"/>
  <c r="F29" i="56"/>
  <c r="F28" i="56"/>
  <c r="F27" i="56"/>
  <c r="F26" i="56"/>
  <c r="F25" i="56"/>
  <c r="F24" i="56"/>
  <c r="F23" i="56"/>
  <c r="F22" i="56"/>
  <c r="F21" i="56"/>
  <c r="F20" i="56"/>
  <c r="F19" i="56"/>
  <c r="F18" i="56"/>
  <c r="F17" i="56"/>
  <c r="F16" i="56"/>
  <c r="F15" i="56"/>
  <c r="F14" i="56"/>
  <c r="F13" i="56"/>
  <c r="F12" i="56"/>
  <c r="F11" i="56"/>
  <c r="F10" i="56"/>
  <c r="F9" i="56"/>
  <c r="F8" i="56"/>
  <c r="F7" i="56"/>
  <c r="F6" i="56"/>
  <c r="F5" i="56"/>
  <c r="F4" i="56"/>
  <c r="F3" i="56"/>
  <c r="F2" i="56"/>
</calcChain>
</file>

<file path=xl/sharedStrings.xml><?xml version="1.0" encoding="utf-8"?>
<sst xmlns="http://schemas.openxmlformats.org/spreadsheetml/2006/main" count="2781" uniqueCount="820">
  <si>
    <t>SUM</t>
  </si>
  <si>
    <t>SUMIF</t>
  </si>
  <si>
    <t>AVERAGE</t>
  </si>
  <si>
    <t>SUM : Menjumlahkan Suatu Nilai</t>
  </si>
  <si>
    <t>Nama</t>
  </si>
  <si>
    <t>Produk</t>
  </si>
  <si>
    <t>Januari</t>
  </si>
  <si>
    <t>Februari</t>
  </si>
  <si>
    <t>Maret</t>
  </si>
  <si>
    <t>Laptop</t>
  </si>
  <si>
    <t>Handphone</t>
  </si>
  <si>
    <t>Total</t>
  </si>
  <si>
    <t>Sales</t>
  </si>
  <si>
    <t>Penjualan</t>
  </si>
  <si>
    <t>Daniel</t>
  </si>
  <si>
    <t>Anzy</t>
  </si>
  <si>
    <t>Syafira</t>
  </si>
  <si>
    <t>Bandung</t>
  </si>
  <si>
    <t>Jakarta</t>
  </si>
  <si>
    <t>Siska</t>
  </si>
  <si>
    <t>Linda</t>
  </si>
  <si>
    <t>Rata - Rata</t>
  </si>
  <si>
    <t>Nilai</t>
  </si>
  <si>
    <t>Keterangan</t>
  </si>
  <si>
    <t xml:space="preserve">  7 - 10</t>
  </si>
  <si>
    <t xml:space="preserve"> 0 - 6</t>
  </si>
  <si>
    <t>Lulus</t>
  </si>
  <si>
    <t>Tidak Lulus</t>
  </si>
  <si>
    <t xml:space="preserve">Catatan </t>
  </si>
  <si>
    <t>Kevin</t>
  </si>
  <si>
    <t>Jenis Kelamin</t>
  </si>
  <si>
    <t>Laki - Laki</t>
  </si>
  <si>
    <t>Perempuan</t>
  </si>
  <si>
    <t>Jumlah Laki - Laki</t>
  </si>
  <si>
    <t>Jumlah Perempuan</t>
  </si>
  <si>
    <t>LEN : Menghitung Jumlah Karakter Pada Teks</t>
  </si>
  <si>
    <t>No</t>
  </si>
  <si>
    <t>Usia</t>
  </si>
  <si>
    <t>Alamat</t>
  </si>
  <si>
    <t>Kode</t>
  </si>
  <si>
    <t>Harga</t>
  </si>
  <si>
    <t>1A</t>
  </si>
  <si>
    <t>2B</t>
  </si>
  <si>
    <t>3C</t>
  </si>
  <si>
    <t>Headset</t>
  </si>
  <si>
    <t>AVERAGEIF</t>
  </si>
  <si>
    <t>IF</t>
  </si>
  <si>
    <t>COUNT</t>
  </si>
  <si>
    <t>COUNTA</t>
  </si>
  <si>
    <t>COUNTIF</t>
  </si>
  <si>
    <t>PROPER</t>
  </si>
  <si>
    <t>UPPER</t>
  </si>
  <si>
    <t>LOWER</t>
  </si>
  <si>
    <t>LEFT</t>
  </si>
  <si>
    <t>MID</t>
  </si>
  <si>
    <t>RIGHT</t>
  </si>
  <si>
    <t>LEN</t>
  </si>
  <si>
    <t>SUMIFS</t>
  </si>
  <si>
    <t>AVERAGEIFS</t>
  </si>
  <si>
    <t>COUNT : Mencari Jumlah Sel Yang Hanya Di Isi Angka Pada Suatu Data</t>
  </si>
  <si>
    <t>SUMIFS : Menjumlahkan Nilai Beberapa Kriteria</t>
  </si>
  <si>
    <t>AVERAGE : Mencari Nilai Rata - Rata</t>
  </si>
  <si>
    <t>IF : Mencari Nilai Perbandingan Pada Suatu Data</t>
  </si>
  <si>
    <t>AVERAGEIF : Mencari Nilai Rata - Rata Kriteria Tertentu</t>
  </si>
  <si>
    <t>UPPER : Menjadikan Teks Menjadi Huruf Besar Semua</t>
  </si>
  <si>
    <t>LOWER : Menjadikan Teks Menjadi Huruf Kecil Semua</t>
  </si>
  <si>
    <t>VLOOKUP</t>
  </si>
  <si>
    <t>HLOOKUP</t>
  </si>
  <si>
    <t>MAX</t>
  </si>
  <si>
    <t xml:space="preserve">MIN </t>
  </si>
  <si>
    <t>LARGE</t>
  </si>
  <si>
    <t>SMALL</t>
  </si>
  <si>
    <t>COUNTBLANK</t>
  </si>
  <si>
    <t>Keyboard</t>
  </si>
  <si>
    <t>Fakultas</t>
  </si>
  <si>
    <t>Hukum</t>
  </si>
  <si>
    <t>Ekonomi</t>
  </si>
  <si>
    <t>MAX : Mencari Nilai Tertinggi</t>
  </si>
  <si>
    <t>IPK</t>
  </si>
  <si>
    <t>IPK Tertinggi di Universitas Indonesia</t>
  </si>
  <si>
    <t>MIN : Mencari Nilai Terendah</t>
  </si>
  <si>
    <t>IPK Terendah di Universitas Indonesia</t>
  </si>
  <si>
    <t>LARGE : Mencari Nilai Tertinggi Tertentu</t>
  </si>
  <si>
    <t>IPK Terendah Ke - 2 di Universitas Indonesia</t>
  </si>
  <si>
    <t>Fitri</t>
  </si>
  <si>
    <t>Tasya</t>
  </si>
  <si>
    <t>UnIVErsItas inDOnEsia</t>
  </si>
  <si>
    <t>PROPER : Menjadikan Huruf Pertama Setiap Kata Menjadi Huruf Besar dan Sisanya Huruf Kecil</t>
  </si>
  <si>
    <t>MID : Mengambil Sejumlah Karakter Dari Tengah</t>
  </si>
  <si>
    <t>RIGHT : Mengambil Sejumlah Karakter Dari Kanan</t>
  </si>
  <si>
    <t>4E</t>
  </si>
  <si>
    <t>Mouse</t>
  </si>
  <si>
    <t>COUNTIFS</t>
  </si>
  <si>
    <t>SMALL : Mencari Nilai Terendah Tertentu</t>
  </si>
  <si>
    <t>COUNTIFS : Mencari Jumlah Sel Berdasarkan Beberapa Kriteria Tertentu</t>
  </si>
  <si>
    <t>MTK DASAR</t>
  </si>
  <si>
    <t>PIVOT TABLE</t>
  </si>
  <si>
    <t>5 x 5</t>
  </si>
  <si>
    <t>5 : 5</t>
  </si>
  <si>
    <t>5 + 5</t>
  </si>
  <si>
    <t>5 - 5</t>
  </si>
  <si>
    <r>
      <t>5</t>
    </r>
    <r>
      <rPr>
        <vertAlign val="superscript"/>
        <sz val="11"/>
        <color theme="1"/>
        <rFont val="Yu Gothic UI Semibold"/>
        <family val="2"/>
      </rPr>
      <t>5</t>
    </r>
  </si>
  <si>
    <t>Perkalian</t>
  </si>
  <si>
    <t>Pembagian</t>
  </si>
  <si>
    <t>Pertambahan</t>
  </si>
  <si>
    <t>Pengurangan</t>
  </si>
  <si>
    <t>Pemangkatan</t>
  </si>
  <si>
    <t>Soal</t>
  </si>
  <si>
    <t>Jawaban</t>
  </si>
  <si>
    <t>CPU</t>
  </si>
  <si>
    <t>RAM</t>
  </si>
  <si>
    <t>LCD</t>
  </si>
  <si>
    <t>Monitor</t>
  </si>
  <si>
    <t>April</t>
  </si>
  <si>
    <t>Mei</t>
  </si>
  <si>
    <t>Jumlah</t>
  </si>
  <si>
    <t>Harddisk</t>
  </si>
  <si>
    <t>Flashdisk</t>
  </si>
  <si>
    <t>Cabang</t>
  </si>
  <si>
    <t>Xiaomi</t>
  </si>
  <si>
    <t>Samsung</t>
  </si>
  <si>
    <t>Pocco</t>
  </si>
  <si>
    <t>Oppo</t>
  </si>
  <si>
    <t>Vivo</t>
  </si>
  <si>
    <t>MTK Dasar</t>
  </si>
  <si>
    <t>Studi Kasus Rumus SUM</t>
  </si>
  <si>
    <t>William</t>
  </si>
  <si>
    <t>Natasya</t>
  </si>
  <si>
    <t>Zahra</t>
  </si>
  <si>
    <t>Studi Kasus Rumus AVERAGE</t>
  </si>
  <si>
    <t>AVERAGEIFS : Mencari Nilai Rata - Rata Beberapa Kriteria</t>
  </si>
  <si>
    <t>IFS : Mencari Beberapa Nilai Perbandingan Pada Suatu Data</t>
  </si>
  <si>
    <t>A</t>
  </si>
  <si>
    <t>B</t>
  </si>
  <si>
    <t>C</t>
  </si>
  <si>
    <t>Bagus</t>
  </si>
  <si>
    <t>Cukup</t>
  </si>
  <si>
    <t>Hebat</t>
  </si>
  <si>
    <t>Nama Siswa</t>
  </si>
  <si>
    <t>MTK</t>
  </si>
  <si>
    <t>IPA</t>
  </si>
  <si>
    <t>IPS</t>
  </si>
  <si>
    <t>Lulus Jika Nilainya Seperti ini  :</t>
  </si>
  <si>
    <t>Gagal Jika Tidak Memenuh Kriteria</t>
  </si>
  <si>
    <t>Anzi</t>
  </si>
  <si>
    <t>Budi</t>
  </si>
  <si>
    <t>Alex</t>
  </si>
  <si>
    <t>Robert</t>
  </si>
  <si>
    <t>Zidan</t>
  </si>
  <si>
    <t>IF(AND)</t>
  </si>
  <si>
    <t>Nama Pelamar</t>
  </si>
  <si>
    <t>Lulusan</t>
  </si>
  <si>
    <t>Komputer</t>
  </si>
  <si>
    <t>S1</t>
  </si>
  <si>
    <t>Bisa</t>
  </si>
  <si>
    <t>Di Interview Jika Kondisinya Seperti ini  :</t>
  </si>
  <si>
    <t>SMA</t>
  </si>
  <si>
    <t>SMP</t>
  </si>
  <si>
    <t>Tidak</t>
  </si>
  <si>
    <t>Gagal Jika Tidak Memenuhi Kriteria</t>
  </si>
  <si>
    <t>SMK</t>
  </si>
  <si>
    <t>SD</t>
  </si>
  <si>
    <t>IF(OR)</t>
  </si>
  <si>
    <t>Lulusan S1 Atau Bisa Komputer</t>
  </si>
  <si>
    <t>Data</t>
  </si>
  <si>
    <t>Proper</t>
  </si>
  <si>
    <t>Upper</t>
  </si>
  <si>
    <t>Lower</t>
  </si>
  <si>
    <t>UNIversiTAS IndOnesia</t>
  </si>
  <si>
    <t>UNIversiTAS hARvaRd</t>
  </si>
  <si>
    <t>UNIversiTAS MALaysia</t>
  </si>
  <si>
    <t>UNIversiTAS PadJajARAN</t>
  </si>
  <si>
    <t>UNIversiTAS AirLangga</t>
  </si>
  <si>
    <t>UNIversiTAS JaKARTA</t>
  </si>
  <si>
    <t>UNIversiTAS PASUNDAN</t>
  </si>
  <si>
    <t>UNIversiTAS BraWiJAYA</t>
  </si>
  <si>
    <t>UNIversiTAS TERbuka</t>
  </si>
  <si>
    <t>UNIversiTAS PAdANG</t>
  </si>
  <si>
    <t>UNIversiTAS Pancasila</t>
  </si>
  <si>
    <r>
      <rPr>
        <sz val="11"/>
        <color rgb="FFFF0000"/>
        <rFont val="Yu Gothic UI Semibold"/>
        <family val="2"/>
      </rPr>
      <t>Nomer</t>
    </r>
    <r>
      <rPr>
        <sz val="11"/>
        <color theme="1"/>
        <rFont val="Yu Gothic UI Semibold"/>
        <family val="2"/>
      </rPr>
      <t xml:space="preserve"> Antrian 202</t>
    </r>
  </si>
  <si>
    <r>
      <t xml:space="preserve">Nomer </t>
    </r>
    <r>
      <rPr>
        <sz val="11"/>
        <color rgb="FFFF0000"/>
        <rFont val="Yu Gothic UI Semibold"/>
        <family val="2"/>
      </rPr>
      <t>Antrian</t>
    </r>
    <r>
      <rPr>
        <sz val="11"/>
        <color theme="1"/>
        <rFont val="Yu Gothic UI Semibold"/>
        <family val="2"/>
      </rPr>
      <t xml:space="preserve"> 202</t>
    </r>
  </si>
  <si>
    <r>
      <t xml:space="preserve">Nomer </t>
    </r>
    <r>
      <rPr>
        <sz val="11"/>
        <rFont val="Yu Gothic UI Semibold"/>
        <family val="2"/>
      </rPr>
      <t>Antrian</t>
    </r>
    <r>
      <rPr>
        <sz val="11"/>
        <color rgb="FFFF0000"/>
        <rFont val="Yu Gothic UI Semibold"/>
        <family val="2"/>
      </rPr>
      <t xml:space="preserve"> 202</t>
    </r>
  </si>
  <si>
    <t>VLOOKUP : Mencari Nilai Dengan Data Vertikal</t>
  </si>
  <si>
    <t>HLOOKUP : Mencari Nilai Dengan Data Horizontal</t>
  </si>
  <si>
    <t>Angga</t>
  </si>
  <si>
    <t>Salsabila</t>
  </si>
  <si>
    <t>Nabila</t>
  </si>
  <si>
    <t>Dimas</t>
  </si>
  <si>
    <t>Febri</t>
  </si>
  <si>
    <t>Sosial</t>
  </si>
  <si>
    <t>Teknik</t>
  </si>
  <si>
    <r>
      <t>PivotTable adalah</t>
    </r>
    <r>
      <rPr>
        <sz val="11"/>
        <rFont val="Yu Gothic UI Semibold"/>
        <family val="2"/>
      </rPr>
      <t> alat canggih untuk menghitung, meringkas, dan menganalisis data</t>
    </r>
  </si>
  <si>
    <t>Rekap Data Berdasarkan Fakultas</t>
  </si>
  <si>
    <t>Apple</t>
  </si>
  <si>
    <t>OnePlus</t>
  </si>
  <si>
    <t>Huawei</t>
  </si>
  <si>
    <t>Google Pixel</t>
  </si>
  <si>
    <t>Sony</t>
  </si>
  <si>
    <t>LG</t>
  </si>
  <si>
    <t>Realme</t>
  </si>
  <si>
    <t>Motorola</t>
  </si>
  <si>
    <t>Nokia</t>
  </si>
  <si>
    <t>ASUS</t>
  </si>
  <si>
    <t>Blackberry</t>
  </si>
  <si>
    <t>Lenovo</t>
  </si>
  <si>
    <t>HTC</t>
  </si>
  <si>
    <t>ZTE</t>
  </si>
  <si>
    <t>Alcatel</t>
  </si>
  <si>
    <t>Tanggal</t>
  </si>
  <si>
    <t>Merek</t>
  </si>
  <si>
    <t>Unit Terjual</t>
  </si>
  <si>
    <t>Pendapatan</t>
  </si>
  <si>
    <t>Total Pendapatan dari Merek</t>
  </si>
  <si>
    <t>Total Unit Terjual Bulan Agustus</t>
  </si>
  <si>
    <t>Surabaya</t>
  </si>
  <si>
    <t>Medan</t>
  </si>
  <si>
    <t>Malang</t>
  </si>
  <si>
    <t>Bali</t>
  </si>
  <si>
    <t xml:space="preserve"> Nama Artis</t>
  </si>
  <si>
    <t xml:space="preserve"> Agama</t>
  </si>
  <si>
    <t xml:space="preserve"> Usia</t>
  </si>
  <si>
    <t xml:space="preserve"> Jenis Kelamin</t>
  </si>
  <si>
    <t xml:space="preserve"> Kota Kelahiran</t>
  </si>
  <si>
    <t xml:space="preserve"> Buddha</t>
  </si>
  <si>
    <t xml:space="preserve"> Laki-laki</t>
  </si>
  <si>
    <t xml:space="preserve"> Seoul</t>
  </si>
  <si>
    <t xml:space="preserve"> Kristen</t>
  </si>
  <si>
    <t xml:space="preserve"> Perempuan</t>
  </si>
  <si>
    <t xml:space="preserve"> Gwacheon</t>
  </si>
  <si>
    <t xml:space="preserve"> Tidak Diketahui</t>
  </si>
  <si>
    <t xml:space="preserve"> Gwangju</t>
  </si>
  <si>
    <t xml:space="preserve"> Daejeon</t>
  </si>
  <si>
    <t xml:space="preserve"> Anyang</t>
  </si>
  <si>
    <t xml:space="preserve"> Katolik</t>
  </si>
  <si>
    <t xml:space="preserve"> Daegu</t>
  </si>
  <si>
    <t xml:space="preserve"> Busan</t>
  </si>
  <si>
    <t xml:space="preserve"> Auckland</t>
  </si>
  <si>
    <t xml:space="preserve"> Jeonju</t>
  </si>
  <si>
    <t xml:space="preserve"> Suwon</t>
  </si>
  <si>
    <t xml:space="preserve"> Yongin</t>
  </si>
  <si>
    <t xml:space="preserve"> Bucheon</t>
  </si>
  <si>
    <t xml:space="preserve"> Ansan</t>
  </si>
  <si>
    <t xml:space="preserve"> Uijeongbu</t>
  </si>
  <si>
    <t>Agama</t>
  </si>
  <si>
    <t>Posisi</t>
  </si>
  <si>
    <t>Status</t>
  </si>
  <si>
    <t>Gaji Pokok</t>
  </si>
  <si>
    <t>Tunjangan Posisi</t>
  </si>
  <si>
    <t>Tabel Posisi</t>
  </si>
  <si>
    <t>HRD</t>
  </si>
  <si>
    <t>Menikah</t>
  </si>
  <si>
    <t>Tunjangan</t>
  </si>
  <si>
    <t>Keuangan</t>
  </si>
  <si>
    <t>Single</t>
  </si>
  <si>
    <t>Admin</t>
  </si>
  <si>
    <t>Marketing</t>
  </si>
  <si>
    <t>Warehouse</t>
  </si>
  <si>
    <t>Alka</t>
  </si>
  <si>
    <t>No.</t>
  </si>
  <si>
    <t>NIK</t>
  </si>
  <si>
    <t>Nama Pemilih</t>
  </si>
  <si>
    <t>Tempat Lahir</t>
  </si>
  <si>
    <t>Tanggal Lahir</t>
  </si>
  <si>
    <t>Umur</t>
  </si>
  <si>
    <t>RT</t>
  </si>
  <si>
    <t xml:space="preserve">Jawablah Pertanyaan Sebagai berikut ! </t>
  </si>
  <si>
    <t>Nama 1</t>
  </si>
  <si>
    <t>10-04-1983</t>
  </si>
  <si>
    <t>Margahayu RW 1</t>
  </si>
  <si>
    <t>Nama 2</t>
  </si>
  <si>
    <t>04-02-1979</t>
  </si>
  <si>
    <t>Nama 3</t>
  </si>
  <si>
    <t>11-06-1983</t>
  </si>
  <si>
    <t>Nama 4</t>
  </si>
  <si>
    <t>07-07-1983</t>
  </si>
  <si>
    <t>Nama 5</t>
  </si>
  <si>
    <t>12-03-1988</t>
  </si>
  <si>
    <t>Nama 6</t>
  </si>
  <si>
    <t>11-08-1980</t>
  </si>
  <si>
    <t>Nama 7</t>
  </si>
  <si>
    <t>01-09-1985</t>
  </si>
  <si>
    <t>Nama 8</t>
  </si>
  <si>
    <t>04-06-1990</t>
  </si>
  <si>
    <t>Nama 9</t>
  </si>
  <si>
    <t>10-03-1960</t>
  </si>
  <si>
    <t>Nama 10</t>
  </si>
  <si>
    <t>09-06-1991</t>
  </si>
  <si>
    <t>Nama 11</t>
  </si>
  <si>
    <t>01-07-1935</t>
  </si>
  <si>
    <t>Nama 12</t>
  </si>
  <si>
    <t>03-11-1973</t>
  </si>
  <si>
    <t>Nama 13</t>
  </si>
  <si>
    <t>09-05-1979</t>
  </si>
  <si>
    <t>Nama 14</t>
  </si>
  <si>
    <t>12-07-1988</t>
  </si>
  <si>
    <t>Nama 15</t>
  </si>
  <si>
    <t>07-08-1964</t>
  </si>
  <si>
    <t>Nama 16</t>
  </si>
  <si>
    <t>03-03-1982</t>
  </si>
  <si>
    <t>Nama 17</t>
  </si>
  <si>
    <t>12-04-1994</t>
  </si>
  <si>
    <t>Nama 18</t>
  </si>
  <si>
    <t>11-06-1985</t>
  </si>
  <si>
    <t>Nama 19</t>
  </si>
  <si>
    <t>07-09-1981</t>
  </si>
  <si>
    <t>Nama 20</t>
  </si>
  <si>
    <t>05-05-1993</t>
  </si>
  <si>
    <t>Nama 21</t>
  </si>
  <si>
    <t>12-07-1990</t>
  </si>
  <si>
    <t>Nama 22</t>
  </si>
  <si>
    <t>07-09-1966</t>
  </si>
  <si>
    <t>Nama 23</t>
  </si>
  <si>
    <t>05-12-1987</t>
  </si>
  <si>
    <t>Nama 24</t>
  </si>
  <si>
    <t>07-03-1987</t>
  </si>
  <si>
    <t>Nama 25</t>
  </si>
  <si>
    <t>08-08-1962</t>
  </si>
  <si>
    <t>Nama 26</t>
  </si>
  <si>
    <t>05-05-1984</t>
  </si>
  <si>
    <t>Nama 27</t>
  </si>
  <si>
    <t>06-01-1962</t>
  </si>
  <si>
    <t>Nama 28</t>
  </si>
  <si>
    <t>11-09-1988</t>
  </si>
  <si>
    <t>Nama 29</t>
  </si>
  <si>
    <t>08-01-1995</t>
  </si>
  <si>
    <t>Nama 30</t>
  </si>
  <si>
    <t>02-08-1973</t>
  </si>
  <si>
    <t>Nama 31</t>
  </si>
  <si>
    <t>01-09-1993</t>
  </si>
  <si>
    <t>Nama 32</t>
  </si>
  <si>
    <t>07-02-1981</t>
  </si>
  <si>
    <t>Nama 33</t>
  </si>
  <si>
    <t>09-02-1985</t>
  </si>
  <si>
    <t>Nama 34</t>
  </si>
  <si>
    <t>01-01-1960</t>
  </si>
  <si>
    <t>Nama 35</t>
  </si>
  <si>
    <t>10-07-1988</t>
  </si>
  <si>
    <t>Nama 36</t>
  </si>
  <si>
    <t>02-12-1993</t>
  </si>
  <si>
    <t>Nama 37</t>
  </si>
  <si>
    <t>12-01-1985</t>
  </si>
  <si>
    <t>Nama 38</t>
  </si>
  <si>
    <t>06-09-1966</t>
  </si>
  <si>
    <t>Nama 39</t>
  </si>
  <si>
    <t>01-06-1949</t>
  </si>
  <si>
    <t>Nama 40</t>
  </si>
  <si>
    <t>06-06-1986</t>
  </si>
  <si>
    <t>Nama 41</t>
  </si>
  <si>
    <t>04-07-1963</t>
  </si>
  <si>
    <t>Nama 42</t>
  </si>
  <si>
    <t>05-06-1950</t>
  </si>
  <si>
    <t>Nama 43</t>
  </si>
  <si>
    <t>12-08-1992</t>
  </si>
  <si>
    <t>Nama 44</t>
  </si>
  <si>
    <t>01-06-1966</t>
  </si>
  <si>
    <t>Nama 45</t>
  </si>
  <si>
    <t>03-07-1969</t>
  </si>
  <si>
    <t>Nama 46</t>
  </si>
  <si>
    <t>05-01-1996</t>
  </si>
  <si>
    <t>Nama 47</t>
  </si>
  <si>
    <t>10-01-1983</t>
  </si>
  <si>
    <t>Nama 48</t>
  </si>
  <si>
    <t>10-06-1985</t>
  </si>
  <si>
    <t>Nama 49</t>
  </si>
  <si>
    <t>02-05-1971</t>
  </si>
  <si>
    <t>Nama 50</t>
  </si>
  <si>
    <t>07-03-1966</t>
  </si>
  <si>
    <t>Nama 51</t>
  </si>
  <si>
    <t>03-12-1981</t>
  </si>
  <si>
    <t>Nama 52</t>
  </si>
  <si>
    <t>08-09-1971</t>
  </si>
  <si>
    <t>Nama 53</t>
  </si>
  <si>
    <t>12-05-1933</t>
  </si>
  <si>
    <t>Nama 54</t>
  </si>
  <si>
    <t>12-06-1980</t>
  </si>
  <si>
    <t>Nama 55</t>
  </si>
  <si>
    <t>04-04-1997</t>
  </si>
  <si>
    <t>Nama 56</t>
  </si>
  <si>
    <t>06-12-1962</t>
  </si>
  <si>
    <t>Nama 57</t>
  </si>
  <si>
    <t>07-04-1937</t>
  </si>
  <si>
    <t>Nama 58</t>
  </si>
  <si>
    <t>07-01-1980</t>
  </si>
  <si>
    <t>Nama 59</t>
  </si>
  <si>
    <t>09-04-1980</t>
  </si>
  <si>
    <t>Nama 60</t>
  </si>
  <si>
    <t>05-05-1979</t>
  </si>
  <si>
    <t>Nama 61</t>
  </si>
  <si>
    <t>08-04-1988</t>
  </si>
  <si>
    <t>Nama 62</t>
  </si>
  <si>
    <t>01-02-1960</t>
  </si>
  <si>
    <t>Nama 63</t>
  </si>
  <si>
    <t>11-01-1968</t>
  </si>
  <si>
    <t>Nama 64</t>
  </si>
  <si>
    <t>12-03-1966</t>
  </si>
  <si>
    <t>Nama 65</t>
  </si>
  <si>
    <t>08-04-1966</t>
  </si>
  <si>
    <t>Nama 66</t>
  </si>
  <si>
    <t>12-01-1989</t>
  </si>
  <si>
    <t>Nama 67</t>
  </si>
  <si>
    <t>07-03-1955</t>
  </si>
  <si>
    <t>Nama 68</t>
  </si>
  <si>
    <t>03-10-1985</t>
  </si>
  <si>
    <t>Nama 69</t>
  </si>
  <si>
    <t>06-09-1949</t>
  </si>
  <si>
    <t>Nama 70</t>
  </si>
  <si>
    <t>01-04-1996</t>
  </si>
  <si>
    <t>Nama 71</t>
  </si>
  <si>
    <t>09-03-1956</t>
  </si>
  <si>
    <t>Nama 72</t>
  </si>
  <si>
    <t>09-03-1958</t>
  </si>
  <si>
    <t>Nama 73</t>
  </si>
  <si>
    <t>06-02-1983</t>
  </si>
  <si>
    <t>Nama 74</t>
  </si>
  <si>
    <t>01-08-1983</t>
  </si>
  <si>
    <t>Nama 75</t>
  </si>
  <si>
    <t>10-11-1957</t>
  </si>
  <si>
    <t>Nama 76</t>
  </si>
  <si>
    <t>12-11-1951</t>
  </si>
  <si>
    <t>Nama 77</t>
  </si>
  <si>
    <t>06-09-1950</t>
  </si>
  <si>
    <t>Nama 78</t>
  </si>
  <si>
    <t>09-03-1963</t>
  </si>
  <si>
    <t>Nama 79</t>
  </si>
  <si>
    <t>03-07-1977</t>
  </si>
  <si>
    <t>Nama 80</t>
  </si>
  <si>
    <t>09-04-1977</t>
  </si>
  <si>
    <t>Nama 81</t>
  </si>
  <si>
    <t>10-09-1967</t>
  </si>
  <si>
    <t>Nama 82</t>
  </si>
  <si>
    <t>10-05-1988</t>
  </si>
  <si>
    <t>Nama 83</t>
  </si>
  <si>
    <t>09-12-1964</t>
  </si>
  <si>
    <t>Nama 84</t>
  </si>
  <si>
    <t>06-07-1977</t>
  </si>
  <si>
    <t>Nama 85</t>
  </si>
  <si>
    <t>07-12-1989</t>
  </si>
  <si>
    <t>Nama 86</t>
  </si>
  <si>
    <t>05-07-1968</t>
  </si>
  <si>
    <t>Nama 87</t>
  </si>
  <si>
    <t>09-09-1990</t>
  </si>
  <si>
    <t>Nama 88</t>
  </si>
  <si>
    <t>05-08-1964</t>
  </si>
  <si>
    <t>Nama 89</t>
  </si>
  <si>
    <t>04-07-1957</t>
  </si>
  <si>
    <t>Nama 90</t>
  </si>
  <si>
    <t>11-03-1986</t>
  </si>
  <si>
    <t>Nama 91</t>
  </si>
  <si>
    <t>11-12-1968</t>
  </si>
  <si>
    <t>Nama 92</t>
  </si>
  <si>
    <t>11-06-1992</t>
  </si>
  <si>
    <t>Nama 93</t>
  </si>
  <si>
    <t>07-06-1991</t>
  </si>
  <si>
    <t>Nama 94</t>
  </si>
  <si>
    <t>01-04-1959</t>
  </si>
  <si>
    <t>Nama 95</t>
  </si>
  <si>
    <t>03-05-1990</t>
  </si>
  <si>
    <t>Nama 96</t>
  </si>
  <si>
    <t>08-08-1986</t>
  </si>
  <si>
    <t>Nama 97</t>
  </si>
  <si>
    <t>09-04-1967</t>
  </si>
  <si>
    <t>Nama 98</t>
  </si>
  <si>
    <t>Nama 99</t>
  </si>
  <si>
    <t>05-06-1951</t>
  </si>
  <si>
    <t>Nama 100</t>
  </si>
  <si>
    <t>01-04-1984</t>
  </si>
  <si>
    <t>Nama 101</t>
  </si>
  <si>
    <t>07-07-1991</t>
  </si>
  <si>
    <t>Nama 102</t>
  </si>
  <si>
    <t>06-05-1971</t>
  </si>
  <si>
    <t>Nama 103</t>
  </si>
  <si>
    <t>05-02-1987</t>
  </si>
  <si>
    <t>Nama 104</t>
  </si>
  <si>
    <t>06-09-1974</t>
  </si>
  <si>
    <t>Nama 105</t>
  </si>
  <si>
    <t>08-12-1993</t>
  </si>
  <si>
    <t>Nama 106</t>
  </si>
  <si>
    <t>03-03-1989</t>
  </si>
  <si>
    <t>Nama 107</t>
  </si>
  <si>
    <t>04-11-1971</t>
  </si>
  <si>
    <t>Nama 108</t>
  </si>
  <si>
    <t>09-04-1993</t>
  </si>
  <si>
    <t>Nama 109</t>
  </si>
  <si>
    <t>08-03-1968</t>
  </si>
  <si>
    <t>Nama 110</t>
  </si>
  <si>
    <t>03-02-1997</t>
  </si>
  <si>
    <t>Nama 111</t>
  </si>
  <si>
    <t>04-05-1978</t>
  </si>
  <si>
    <t>Nama 112</t>
  </si>
  <si>
    <t>06-04-1969</t>
  </si>
  <si>
    <t>Nama 113</t>
  </si>
  <si>
    <t>10-11-1951</t>
  </si>
  <si>
    <t>Nama 114</t>
  </si>
  <si>
    <t>07-11-1957</t>
  </si>
  <si>
    <t>Nama 115</t>
  </si>
  <si>
    <t>Nama 116</t>
  </si>
  <si>
    <t>02-10-1988</t>
  </si>
  <si>
    <t>Nama 117</t>
  </si>
  <si>
    <t>08-06-1996</t>
  </si>
  <si>
    <t>Nama 118</t>
  </si>
  <si>
    <t>12-07-1977</t>
  </si>
  <si>
    <t>Nama 119</t>
  </si>
  <si>
    <t>12-05-1965</t>
  </si>
  <si>
    <t>Nama 120</t>
  </si>
  <si>
    <t>01-07-1950</t>
  </si>
  <si>
    <t>Nama 121</t>
  </si>
  <si>
    <t>03-09-1960</t>
  </si>
  <si>
    <t>Nama 122</t>
  </si>
  <si>
    <t>06-09-1936</t>
  </si>
  <si>
    <t>Nama 123</t>
  </si>
  <si>
    <t>09-01-1977</t>
  </si>
  <si>
    <t>Nama 124</t>
  </si>
  <si>
    <t>01-01-1964</t>
  </si>
  <si>
    <t>Nama 125</t>
  </si>
  <si>
    <t>05-06-1969</t>
  </si>
  <si>
    <t>Nama 126</t>
  </si>
  <si>
    <t>11-03-1985</t>
  </si>
  <si>
    <t>Nama 127</t>
  </si>
  <si>
    <t>07-09-1986</t>
  </si>
  <si>
    <t>Nama 128</t>
  </si>
  <si>
    <t>05-03-1938</t>
  </si>
  <si>
    <t>Nama 129</t>
  </si>
  <si>
    <t>08-02-1987</t>
  </si>
  <si>
    <t>Nama 130</t>
  </si>
  <si>
    <t>07-06-1972</t>
  </si>
  <si>
    <t>Nama 131</t>
  </si>
  <si>
    <t>04-06-1962</t>
  </si>
  <si>
    <t>Nama 132</t>
  </si>
  <si>
    <t>10-08-1982</t>
  </si>
  <si>
    <t>Nama 133</t>
  </si>
  <si>
    <t>06-01-1971</t>
  </si>
  <si>
    <t>Nama 134</t>
  </si>
  <si>
    <t>05-05-1967</t>
  </si>
  <si>
    <t>Nama 135</t>
  </si>
  <si>
    <t>05-02-1963</t>
  </si>
  <si>
    <t>Nama 136</t>
  </si>
  <si>
    <t>05-07-1963</t>
  </si>
  <si>
    <t>Nama 137</t>
  </si>
  <si>
    <t>10-10-1974</t>
  </si>
  <si>
    <t>Nama 138</t>
  </si>
  <si>
    <t>Nama 139</t>
  </si>
  <si>
    <t>04-02-1993</t>
  </si>
  <si>
    <t>Nama 140</t>
  </si>
  <si>
    <t>12-06-1974</t>
  </si>
  <si>
    <t>Nama 141</t>
  </si>
  <si>
    <t>Nama 142</t>
  </si>
  <si>
    <t>Nama 143</t>
  </si>
  <si>
    <t>Nama 144</t>
  </si>
  <si>
    <t>Nama 145</t>
  </si>
  <si>
    <t>12-06-1963</t>
  </si>
  <si>
    <t>Nama 146</t>
  </si>
  <si>
    <t>05-04-1993</t>
  </si>
  <si>
    <t>Nama 147</t>
  </si>
  <si>
    <t>11-05-1975</t>
  </si>
  <si>
    <t>1. Hitung jumlah, "Laki - Laki", "Perempuan", Jumlah Semua Data Pemilih.</t>
  </si>
  <si>
    <t>2. Hitung Setiap Pemilih Berdasarkan RT nya</t>
  </si>
  <si>
    <t>TEXTJOIN</t>
  </si>
  <si>
    <t>TEXTJOIN : Menggabungkan Beberapa Teks</t>
  </si>
  <si>
    <t>Kota Lahir</t>
  </si>
  <si>
    <t>Jumlah LCD + CPU</t>
  </si>
  <si>
    <t>SUMIF : Menjumlahkan Nilai 1 Kriteria Tertentu</t>
  </si>
  <si>
    <t>Studi Kasus SUMIF</t>
  </si>
  <si>
    <t>Studi Kasus SUMIFS</t>
  </si>
  <si>
    <t>Rata - Rata Penjualan CPU dan RAM</t>
  </si>
  <si>
    <t>Studi Kasus Rumus AVERAGEIFS</t>
  </si>
  <si>
    <t>IF(AND) : Mencari Nilai Perbandingan Dengan Kondisi Datanya Harus Sesuai</t>
  </si>
  <si>
    <t>IF(OR) : Mencari Nilai Perbandingan Dengan Syarat Salah Satu Kondisi</t>
  </si>
  <si>
    <t>Nomor Induk Siswa</t>
  </si>
  <si>
    <t>Jumlah Siswa</t>
  </si>
  <si>
    <t>Kiki Gunawan</t>
  </si>
  <si>
    <t>Fira Rahmawati</t>
  </si>
  <si>
    <t>Hendra Kusuma</t>
  </si>
  <si>
    <t>Made Ardiansyah</t>
  </si>
  <si>
    <t>Vina Aulia</t>
  </si>
  <si>
    <t>Joko Wulandari</t>
  </si>
  <si>
    <t>Wawan Saputra</t>
  </si>
  <si>
    <t>Santi Lestari</t>
  </si>
  <si>
    <t>Ahmad Utomo</t>
  </si>
  <si>
    <t>Oki Nugroho</t>
  </si>
  <si>
    <t>Zahra Maharani</t>
  </si>
  <si>
    <t>Yusuf Anggraini</t>
  </si>
  <si>
    <t>Gita Firmansyah</t>
  </si>
  <si>
    <t>Nina Pratama</t>
  </si>
  <si>
    <t>Putri Susilo</t>
  </si>
  <si>
    <t>Tomi Nugroho</t>
  </si>
  <si>
    <t>Intan Santoso</t>
  </si>
  <si>
    <t>Lia Wulandari</t>
  </si>
  <si>
    <t>Budi Wijaya</t>
  </si>
  <si>
    <t>Citra Nugroho</t>
  </si>
  <si>
    <t>Nina Wulandari</t>
  </si>
  <si>
    <t>Oki Aulia</t>
  </si>
  <si>
    <t>Kiki Permata</t>
  </si>
  <si>
    <t>Lia Gunawan</t>
  </si>
  <si>
    <t>Dimas Utomo</t>
  </si>
  <si>
    <t>Vina Pratama</t>
  </si>
  <si>
    <t>Gita Maharani</t>
  </si>
  <si>
    <t>Ahmad Anggraini</t>
  </si>
  <si>
    <t>Tomi Ardiansyah</t>
  </si>
  <si>
    <t>Fira Kusuma</t>
  </si>
  <si>
    <t>Made Wulandari</t>
  </si>
  <si>
    <t>Intan Lestari</t>
  </si>
  <si>
    <t>Putri Rahmawati</t>
  </si>
  <si>
    <t>Zahra Utomo</t>
  </si>
  <si>
    <t>Wawan Wijaya</t>
  </si>
  <si>
    <t>Joko Santoso</t>
  </si>
  <si>
    <t>Budi Firmansyah</t>
  </si>
  <si>
    <t>Santi Pratama</t>
  </si>
  <si>
    <t>Yusuf Susilo</t>
  </si>
  <si>
    <t>Hendra Gunawan</t>
  </si>
  <si>
    <t>Nina Permata</t>
  </si>
  <si>
    <t>Gita Ardiansyah</t>
  </si>
  <si>
    <t>Dimas Santoso</t>
  </si>
  <si>
    <t>Ahmad Nugroho</t>
  </si>
  <si>
    <t>Fira Wulandari</t>
  </si>
  <si>
    <t>Vina Gunawan</t>
  </si>
  <si>
    <t>Tomi Hidayat</t>
  </si>
  <si>
    <t>Intan Anggraini</t>
  </si>
  <si>
    <t>Yusuf Saputra</t>
  </si>
  <si>
    <t>Kiki Wijaya</t>
  </si>
  <si>
    <t>Wawan Pratama</t>
  </si>
  <si>
    <t>Santi Utomo</t>
  </si>
  <si>
    <t>Oki Kusuma</t>
  </si>
  <si>
    <t>Made Susilo</t>
  </si>
  <si>
    <t>Lia Maharani</t>
  </si>
  <si>
    <t>Putri Aulia</t>
  </si>
  <si>
    <t>Budi Lestari</t>
  </si>
  <si>
    <t>Joko Permata</t>
  </si>
  <si>
    <t>Ahmad Hidayat</t>
  </si>
  <si>
    <t>Zahra Santoso</t>
  </si>
  <si>
    <t>Dimas Gunawan</t>
  </si>
  <si>
    <t>Gita Pratama</t>
  </si>
  <si>
    <t>Nina Ardiansyah</t>
  </si>
  <si>
    <t>Kiki Rahmawati</t>
  </si>
  <si>
    <t>Vina Nugroho</t>
  </si>
  <si>
    <t>Santi Wulandari</t>
  </si>
  <si>
    <t>Lia Anggraini</t>
  </si>
  <si>
    <t>Intan Wijaya</t>
  </si>
  <si>
    <t>Wawan Kusuma</t>
  </si>
  <si>
    <t>Citra Firmansyah</t>
  </si>
  <si>
    <t>Yusuf Maharani</t>
  </si>
  <si>
    <t>Made Santoso</t>
  </si>
  <si>
    <t>Budi Aulia</t>
  </si>
  <si>
    <t>Fira Susilo</t>
  </si>
  <si>
    <t>Oki Permata</t>
  </si>
  <si>
    <t>Hendra Wulandari</t>
  </si>
  <si>
    <t>Nina Nugroho</t>
  </si>
  <si>
    <t>Zahra Wulandari</t>
  </si>
  <si>
    <t>Ahmad Gunawan</t>
  </si>
  <si>
    <t>Santi Ardiansyah</t>
  </si>
  <si>
    <t>Gita Kusuma</t>
  </si>
  <si>
    <t>Tomi Santoso</t>
  </si>
  <si>
    <t>Yusuf Rahmawati</t>
  </si>
  <si>
    <t>Fira Pratama</t>
  </si>
  <si>
    <t>Kiki Hidayat</t>
  </si>
  <si>
    <t>Lia Aulia</t>
  </si>
  <si>
    <t>Dimas Permata</t>
  </si>
  <si>
    <t>Made Wijaya</t>
  </si>
  <si>
    <t>Citra Santoso</t>
  </si>
  <si>
    <t>Budi Nugroho</t>
  </si>
  <si>
    <t>Ahmad Lestari</t>
  </si>
  <si>
    <t>Wawan Gunawan</t>
  </si>
  <si>
    <t>Yusuf Firmansyah</t>
  </si>
  <si>
    <t>Nina Utomo</t>
  </si>
  <si>
    <t>Vina Rahmawati</t>
  </si>
  <si>
    <t>Oki Ardiansyah</t>
  </si>
  <si>
    <t>Gita Nugroho</t>
  </si>
  <si>
    <t>Hendra Pratama</t>
  </si>
  <si>
    <t>Tomi Aulia</t>
  </si>
  <si>
    <t>Santi Susilo</t>
  </si>
  <si>
    <t>Intan Wulandari</t>
  </si>
  <si>
    <t>Zahra Firmansyah</t>
  </si>
  <si>
    <t>Fira Hidayat</t>
  </si>
  <si>
    <t>Dimas Kusuma</t>
  </si>
  <si>
    <t>Ahmad Santoso</t>
  </si>
  <si>
    <t>Vina Wulandari</t>
  </si>
  <si>
    <t>Made Pratama</t>
  </si>
  <si>
    <t>Joko Gunawan</t>
  </si>
  <si>
    <t>Santi Permata</t>
  </si>
  <si>
    <t>Citra Aulia</t>
  </si>
  <si>
    <t>Wawan Ardiansyah</t>
  </si>
  <si>
    <t>Putri Maharani</t>
  </si>
  <si>
    <t>Oki Lestari</t>
  </si>
  <si>
    <t>Hendra Utomo</t>
  </si>
  <si>
    <t>Lia Rahmawati</t>
  </si>
  <si>
    <t>Dimas Wulandari</t>
  </si>
  <si>
    <t>Zahra Pratama</t>
  </si>
  <si>
    <t>Tomi Gunawan</t>
  </si>
  <si>
    <t>Intan Kusuma</t>
  </si>
  <si>
    <t>Gita Wijaya</t>
  </si>
  <si>
    <t>Yusuf Santoso</t>
  </si>
  <si>
    <t>Fira Permata</t>
  </si>
  <si>
    <t>Ahmad Aulia</t>
  </si>
  <si>
    <t>Kiki Maharani</t>
  </si>
  <si>
    <t>Santi Nugroho</t>
  </si>
  <si>
    <t>Nina Anggraini</t>
  </si>
  <si>
    <t>Zahra Gunawan</t>
  </si>
  <si>
    <t>Joko Firmansyah</t>
  </si>
  <si>
    <t>Dimas Susilo</t>
  </si>
  <si>
    <t>Vina Kusuma</t>
  </si>
  <si>
    <t>Putri Pratama</t>
  </si>
  <si>
    <t>Yusuf Nugroho</t>
  </si>
  <si>
    <t>Fira Utomo</t>
  </si>
  <si>
    <t>Citra Ardiansyah</t>
  </si>
  <si>
    <t>Tomi Wijaya</t>
  </si>
  <si>
    <t>Nina Maharani</t>
  </si>
  <si>
    <t>Budi Santoso</t>
  </si>
  <si>
    <t>Zahra Kusuma</t>
  </si>
  <si>
    <t>Dimas Rahmawati</t>
  </si>
  <si>
    <t>Gita Permata</t>
  </si>
  <si>
    <t>Ahmad Susilo</t>
  </si>
  <si>
    <t>Kiki Pratama</t>
  </si>
  <si>
    <t>Yusuf Aulia</t>
  </si>
  <si>
    <t>Fira Gunawan</t>
  </si>
  <si>
    <t>Wawan Anggraini</t>
  </si>
  <si>
    <t>Made Nugroho</t>
  </si>
  <si>
    <t>Putri Firmansyah</t>
  </si>
  <si>
    <t>COUNTA : Mencari Jumlah Sel Yang Berisi Data</t>
  </si>
  <si>
    <t>COUNTBLANK : Menghitung Jumlah Sel Yang Kosong</t>
  </si>
  <si>
    <t>Jumlah Siswa Yang Alamatnya Kosong</t>
  </si>
  <si>
    <t>Studi Kasus Merapihkan Kata</t>
  </si>
  <si>
    <t>LEFT : Mengambil Karakter Dari Kiri</t>
  </si>
  <si>
    <t>Studi Kasus Pengambilan Karakter</t>
  </si>
  <si>
    <t>3 Digit Awal</t>
  </si>
  <si>
    <t>3 Digit Akhir</t>
  </si>
  <si>
    <t>No Induk Siswa</t>
  </si>
  <si>
    <t>Jumlah Karakter Nama</t>
  </si>
  <si>
    <t>12002182</t>
  </si>
  <si>
    <t>2 Digit Tengah</t>
  </si>
  <si>
    <t>Arya</t>
  </si>
  <si>
    <t>Bima</t>
  </si>
  <si>
    <t>Damar</t>
  </si>
  <si>
    <t>Galang</t>
  </si>
  <si>
    <t>Jati</t>
  </si>
  <si>
    <t>Raditya</t>
  </si>
  <si>
    <t>Raka</t>
  </si>
  <si>
    <t>Tama</t>
  </si>
  <si>
    <t>Ayu</t>
  </si>
  <si>
    <t>Citra</t>
  </si>
  <si>
    <t>Kirana</t>
  </si>
  <si>
    <t>Lestari</t>
  </si>
  <si>
    <t>Nindya</t>
  </si>
  <si>
    <t>Sekar</t>
  </si>
  <si>
    <t>Nama Depan</t>
  </si>
  <si>
    <t>Nama Belakang</t>
  </si>
  <si>
    <t>Nama Lengkap</t>
  </si>
  <si>
    <t>Siregar</t>
  </si>
  <si>
    <t>Nasution</t>
  </si>
  <si>
    <t>Hutapea</t>
  </si>
  <si>
    <t>Simamora</t>
  </si>
  <si>
    <t>Sinaga</t>
  </si>
  <si>
    <t>Sihotang</t>
  </si>
  <si>
    <t>Harahap</t>
  </si>
  <si>
    <t>Lubis</t>
  </si>
  <si>
    <t>Manurung</t>
  </si>
  <si>
    <t>Marpaung</t>
  </si>
  <si>
    <t>Parapat</t>
  </si>
  <si>
    <t>Sirait</t>
  </si>
  <si>
    <t>Hasibuan</t>
  </si>
  <si>
    <t>TRIM :  Menghapus spasi ekstra dari teks</t>
  </si>
  <si>
    <t>Nama Lengkap Rapih</t>
  </si>
  <si>
    <t xml:space="preserve">        Anzy Nasution</t>
  </si>
  <si>
    <t>Kevin  Hutapea</t>
  </si>
  <si>
    <t xml:space="preserve">  Syafira Simamora</t>
  </si>
  <si>
    <t>Siska Sinaga</t>
  </si>
  <si>
    <t xml:space="preserve">          William        Sihotang</t>
  </si>
  <si>
    <t>Natasya   Harahap</t>
  </si>
  <si>
    <t>Angga Lubis</t>
  </si>
  <si>
    <t xml:space="preserve">  Salsabila Manurung</t>
  </si>
  <si>
    <t>Fitri   Marpaung</t>
  </si>
  <si>
    <t xml:space="preserve"> Zahra Parapat</t>
  </si>
  <si>
    <t>Nabila    Sirait</t>
  </si>
  <si>
    <t>Dimas Hasibuan</t>
  </si>
  <si>
    <t>Aditya</t>
  </si>
  <si>
    <t>Cahyo</t>
  </si>
  <si>
    <t>Eko</t>
  </si>
  <si>
    <t>Fajar</t>
  </si>
  <si>
    <t>Hendra</t>
  </si>
  <si>
    <t>Irfan</t>
  </si>
  <si>
    <t>Jaka</t>
  </si>
  <si>
    <t>Krisna</t>
  </si>
  <si>
    <t>Luthfi</t>
  </si>
  <si>
    <t>Made</t>
  </si>
  <si>
    <t>Nugroho</t>
  </si>
  <si>
    <t>Rizky</t>
  </si>
  <si>
    <t>Bella</t>
  </si>
  <si>
    <t>Dewi</t>
  </si>
  <si>
    <t>Eka</t>
  </si>
  <si>
    <t>Gita</t>
  </si>
  <si>
    <t>Hana</t>
  </si>
  <si>
    <t>Intan</t>
  </si>
  <si>
    <t>Jelita</t>
  </si>
  <si>
    <t>Kartika</t>
  </si>
  <si>
    <t>Melati</t>
  </si>
  <si>
    <t>Ningsih</t>
  </si>
  <si>
    <t>Putri</t>
  </si>
  <si>
    <t xml:space="preserve"> Nama </t>
  </si>
  <si>
    <t>Studi Kasus Rumus VLOOKUP 1</t>
  </si>
  <si>
    <t>Studi Kasus Rumus VLOOKUP 2</t>
  </si>
  <si>
    <t>Studi Kasus Rumus HLOOKUP 2</t>
  </si>
  <si>
    <t>Studi Kasus Rumus HLOOKUP 1</t>
  </si>
  <si>
    <t>TRIM</t>
  </si>
  <si>
    <r>
      <t xml:space="preserve">Penjualan di Cabang </t>
    </r>
    <r>
      <rPr>
        <sz val="11"/>
        <color rgb="FFFF0000"/>
        <rFont val="Yu Gothic UI Semibold"/>
        <family val="2"/>
      </rPr>
      <t>Bandung</t>
    </r>
  </si>
  <si>
    <r>
      <t xml:space="preserve">Jumlah Unit Terjual dari Merek </t>
    </r>
    <r>
      <rPr>
        <sz val="11"/>
        <color rgb="FFFF0000"/>
        <rFont val="Yu Gothic UI Semibold"/>
        <family val="2"/>
      </rPr>
      <t>Samsung</t>
    </r>
  </si>
  <si>
    <r>
      <t xml:space="preserve">Penjualan Produk </t>
    </r>
    <r>
      <rPr>
        <sz val="11"/>
        <color rgb="FFFF0000"/>
        <rFont val="Yu Gothic UI Semibold"/>
        <family val="2"/>
      </rPr>
      <t>Oppo</t>
    </r>
    <r>
      <rPr>
        <sz val="11"/>
        <color theme="1"/>
        <rFont val="Yu Gothic UI Semibold"/>
        <family val="2"/>
      </rPr>
      <t xml:space="preserve">                      di Cabang </t>
    </r>
    <r>
      <rPr>
        <sz val="11"/>
        <color rgb="FF0000FF"/>
        <rFont val="Yu Gothic UI Semibold"/>
        <family val="2"/>
      </rPr>
      <t>Bandung</t>
    </r>
  </si>
  <si>
    <r>
      <t xml:space="preserve">Jumlah Unit Terjual dari 
Merek </t>
    </r>
    <r>
      <rPr>
        <sz val="11"/>
        <color rgb="FF0000FF"/>
        <rFont val="Yu Gothic UI Semibold"/>
        <family val="2"/>
      </rPr>
      <t>Samsung</t>
    </r>
    <r>
      <rPr>
        <sz val="11"/>
        <color theme="1"/>
        <rFont val="Yu Gothic UI Semibold"/>
        <family val="2"/>
      </rPr>
      <t xml:space="preserve"> Cabang </t>
    </r>
    <r>
      <rPr>
        <sz val="11"/>
        <color rgb="FFFF0000"/>
        <rFont val="Yu Gothic UI Semibold"/>
        <family val="2"/>
      </rPr>
      <t>Bandung</t>
    </r>
  </si>
  <si>
    <r>
      <t xml:space="preserve">Rata - Rata Penjualan                     di Cabang </t>
    </r>
    <r>
      <rPr>
        <sz val="11"/>
        <color rgb="FFFF0000"/>
        <rFont val="Yu Gothic UI Semibold"/>
        <family val="2"/>
      </rPr>
      <t>Bandung</t>
    </r>
  </si>
  <si>
    <r>
      <t xml:space="preserve">Rata - Rata Unit Terjual 
di Cabang </t>
    </r>
    <r>
      <rPr>
        <sz val="11"/>
        <color rgb="FFFF0000"/>
        <rFont val="Yu Gothic UI Semibold"/>
        <family val="2"/>
      </rPr>
      <t>Bandung</t>
    </r>
  </si>
  <si>
    <r>
      <t xml:space="preserve">Rata - Rata Unit Terjual 
Merek </t>
    </r>
    <r>
      <rPr>
        <sz val="11"/>
        <color rgb="FFFF0000"/>
        <rFont val="Yu Gothic UI Semibold"/>
        <family val="2"/>
      </rPr>
      <t>Samsung</t>
    </r>
  </si>
  <si>
    <r>
      <t xml:space="preserve">Rata - Rata Penjualan 
Produk </t>
    </r>
    <r>
      <rPr>
        <sz val="11"/>
        <color rgb="FFFF0000"/>
        <rFont val="Yu Gothic UI Semibold"/>
        <family val="2"/>
      </rPr>
      <t>Oppo</t>
    </r>
    <r>
      <rPr>
        <sz val="11"/>
        <color theme="1"/>
        <rFont val="Yu Gothic UI Semibold"/>
        <family val="2"/>
      </rPr>
      <t xml:space="preserve"> di Cabang </t>
    </r>
    <r>
      <rPr>
        <sz val="11"/>
        <color rgb="FF0000CC"/>
        <rFont val="Yu Gothic UI Semibold"/>
        <family val="2"/>
      </rPr>
      <t>Bandung</t>
    </r>
  </si>
  <si>
    <r>
      <t xml:space="preserve">Rata - Rata Unit Terjual 
Merek </t>
    </r>
    <r>
      <rPr>
        <sz val="11"/>
        <color rgb="FF0000CC"/>
        <rFont val="Yu Gothic UI Semibold"/>
        <family val="2"/>
      </rPr>
      <t xml:space="preserve">Samsung </t>
    </r>
    <r>
      <rPr>
        <sz val="11"/>
        <color theme="1"/>
        <rFont val="Yu Gothic UI Semibold"/>
        <family val="2"/>
      </rPr>
      <t xml:space="preserve">di Cabang </t>
    </r>
    <r>
      <rPr>
        <sz val="11"/>
        <color rgb="FFFF0000"/>
        <rFont val="Yu Gothic UI Semibold"/>
        <family val="2"/>
      </rPr>
      <t>Bandung</t>
    </r>
  </si>
  <si>
    <r>
      <t xml:space="preserve">Rata - Rata Unit Terjual 
Merek </t>
    </r>
    <r>
      <rPr>
        <sz val="11"/>
        <color rgb="FF0000CC"/>
        <rFont val="Yu Gothic UI Semibold"/>
        <family val="2"/>
      </rPr>
      <t>Samsung</t>
    </r>
    <r>
      <rPr>
        <sz val="11"/>
        <color theme="1"/>
        <rFont val="Yu Gothic UI Semibold"/>
        <family val="2"/>
      </rPr>
      <t xml:space="preserve"> Bulan </t>
    </r>
    <r>
      <rPr>
        <sz val="11"/>
        <color rgb="FFFF0000"/>
        <rFont val="Yu Gothic UI Semibold"/>
        <family val="2"/>
      </rPr>
      <t>Agustus</t>
    </r>
  </si>
  <si>
    <t>IPK Tertinggi Ke - 3 di Universitas Indonesia</t>
  </si>
  <si>
    <t>MTK &gt;=70</t>
  </si>
  <si>
    <t>IPA &gt;=75</t>
  </si>
  <si>
    <t>IPS &gt;=75</t>
  </si>
  <si>
    <t>COUNTIF : Menghitung Jumlah Sel Berdasarkan 1 Kriteria Tertentu</t>
  </si>
  <si>
    <r>
      <t xml:space="preserve">Jumlah </t>
    </r>
    <r>
      <rPr>
        <sz val="11"/>
        <color rgb="FFFF0000"/>
        <rFont val="Yu Gothic UI Semibold"/>
        <family val="2"/>
      </rPr>
      <t>Perempuan</t>
    </r>
    <r>
      <rPr>
        <sz val="11"/>
        <rFont val="Yu Gothic UI Semibold"/>
        <family val="2"/>
      </rPr>
      <t xml:space="preserve"> Memilki Nilai </t>
    </r>
    <r>
      <rPr>
        <sz val="11"/>
        <color rgb="FF002060"/>
        <rFont val="Yu Gothic UI Semibold"/>
        <family val="2"/>
      </rPr>
      <t>8</t>
    </r>
  </si>
  <si>
    <t>Belajar Excel Pemula</t>
  </si>
  <si>
    <t>Daniel Siregar</t>
  </si>
  <si>
    <t>31 RUMUS RUMUS EXCEL WAJIB DI KUASAI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</si>
</sst>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&quot;Rp&quot;#,##0"/>
    <numFmt numFmtId="166" formatCode="_-[$$-409]* #,##0_ ;_-[$$-409]* \-#,##0\ ;_-[$$-409]* &quot;-&quot;??_ ;_-@_ "/>
    <numFmt numFmtId="167" formatCode="0.0"/>
  </numFmts>
  <fonts count="22" x14ac:knownFonts="1"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Yu Gothic UI Semibold"/>
      <family val="2"/>
    </font>
    <font>
      <sz val="11"/>
      <name val="Yu Gothic UI Semibold"/>
      <family val="2"/>
    </font>
    <font>
      <b/>
      <sz val="11"/>
      <name val="Yu Gothic UI Semibold"/>
      <family val="2"/>
    </font>
    <font>
      <sz val="12"/>
      <color theme="1"/>
      <name val="Yu Gothic UI Semibold"/>
      <family val="2"/>
    </font>
    <font>
      <sz val="12"/>
      <color theme="0"/>
      <name val="Yu Gothic UI Semibold"/>
      <family val="2"/>
    </font>
    <font>
      <sz val="11"/>
      <color theme="1"/>
      <name val="Yu Gothic UI Semibold"/>
      <family val="2"/>
    </font>
    <font>
      <sz val="10"/>
      <color theme="1"/>
      <name val="Yu Gothic UI Semibold"/>
      <family val="2"/>
    </font>
    <font>
      <sz val="8"/>
      <color theme="1"/>
      <name val="Yu Gothic UI Semibold"/>
      <family val="2"/>
    </font>
    <font>
      <sz val="9"/>
      <color theme="1"/>
      <name val="Yu Gothic UI Semibold"/>
      <family val="2"/>
    </font>
    <font>
      <sz val="18"/>
      <color theme="1"/>
      <name val="Yu Gothic UI Semibold"/>
      <family val="2"/>
    </font>
    <font>
      <vertAlign val="superscript"/>
      <sz val="11"/>
      <color theme="1"/>
      <name val="Yu Gothic UI Semibold"/>
      <family val="2"/>
    </font>
    <font>
      <sz val="11"/>
      <color rgb="FFFF0000"/>
      <name val="Yu Gothic UI Semibold"/>
      <family val="2"/>
    </font>
    <font>
      <sz val="7"/>
      <color theme="1"/>
      <name val="Yu Gothic UI Semibold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rgb="FF0000FF"/>
      <name val="Yu Gothic UI Semibold"/>
      <family val="2"/>
    </font>
    <font>
      <sz val="11"/>
      <color rgb="FF0000CC"/>
      <name val="Yu Gothic UI Semibold"/>
      <family val="2"/>
    </font>
    <font>
      <sz val="11"/>
      <color rgb="FF002060"/>
      <name val="Yu Gothic UI Semibold"/>
      <family val="2"/>
    </font>
    <font>
      <sz val="18"/>
      <color theme="0"/>
      <name val="Yu Gothic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0099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7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1" fontId="0" fillId="0" borderId="9" xfId="0" applyNumberFormat="1" applyBorder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3" borderId="9" xfId="0" applyFont="1" applyFill="1" applyBorder="1"/>
    <xf numFmtId="3" fontId="0" fillId="0" borderId="9" xfId="2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0" borderId="0" xfId="1" applyAlignment="1">
      <alignment horizontal="center" vertical="center"/>
    </xf>
    <xf numFmtId="165" fontId="0" fillId="0" borderId="9" xfId="0" applyNumberFormat="1" applyBorder="1" applyAlignment="1">
      <alignment horizontal="left"/>
    </xf>
    <xf numFmtId="166" fontId="0" fillId="0" borderId="9" xfId="0" applyNumberFormat="1" applyBorder="1"/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/>
    <xf numFmtId="164" fontId="7" fillId="0" borderId="9" xfId="2" applyFont="1" applyBorder="1"/>
    <xf numFmtId="0" fontId="7" fillId="5" borderId="11" xfId="0" applyFont="1" applyFill="1" applyBorder="1" applyAlignment="1">
      <alignment horizontal="center"/>
    </xf>
    <xf numFmtId="0" fontId="7" fillId="5" borderId="11" xfId="0" applyFont="1" applyFill="1" applyBorder="1"/>
    <xf numFmtId="0" fontId="7" fillId="5" borderId="11" xfId="0" applyFont="1" applyFill="1" applyBorder="1" applyAlignment="1">
      <alignment horizontal="center" vertical="center"/>
    </xf>
    <xf numFmtId="0" fontId="7" fillId="5" borderId="13" xfId="0" applyFont="1" applyFill="1" applyBorder="1"/>
    <xf numFmtId="0" fontId="15" fillId="6" borderId="11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9" xfId="0" applyFont="1" applyBorder="1" applyAlignment="1">
      <alignment horizontal="center"/>
    </xf>
    <xf numFmtId="49" fontId="15" fillId="0" borderId="16" xfId="0" applyNumberFormat="1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14" fontId="15" fillId="0" borderId="16" xfId="0" applyNumberFormat="1" applyFont="1" applyBorder="1" applyAlignment="1">
      <alignment horizontal="center" wrapText="1"/>
    </xf>
    <xf numFmtId="0" fontId="17" fillId="0" borderId="16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1" fontId="15" fillId="0" borderId="17" xfId="0" applyNumberFormat="1" applyFont="1" applyBorder="1" applyAlignment="1">
      <alignment horizontal="center"/>
    </xf>
    <xf numFmtId="0" fontId="15" fillId="0" borderId="0" xfId="0" applyFont="1" applyAlignment="1">
      <alignment vertical="top"/>
    </xf>
    <xf numFmtId="1" fontId="15" fillId="0" borderId="16" xfId="0" applyNumberFormat="1" applyFont="1" applyBorder="1" applyAlignment="1">
      <alignment horizontal="center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64" fontId="7" fillId="0" borderId="9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1" fillId="4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7" fillId="0" borderId="9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3" fillId="0" borderId="9" xfId="0" applyFont="1" applyBorder="1"/>
    <xf numFmtId="0" fontId="3" fillId="0" borderId="9" xfId="2" applyNumberFormat="1" applyFont="1" applyBorder="1" applyAlignment="1">
      <alignment horizontal="left"/>
    </xf>
    <xf numFmtId="0" fontId="21" fillId="7" borderId="1" xfId="0" applyFont="1" applyFill="1" applyBorder="1" applyAlignment="1">
      <alignment vertical="center"/>
    </xf>
    <xf numFmtId="49" fontId="1" fillId="7" borderId="9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9" xfId="0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5" fillId="0" borderId="0" xfId="0" applyFont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0" xfId="0" applyFill="1"/>
    <xf numFmtId="0" fontId="0" fillId="8" borderId="9" xfId="0" applyFill="1" applyBorder="1" applyAlignment="1">
      <alignment horizontal="center"/>
    </xf>
    <xf numFmtId="0" fontId="0" fillId="8" borderId="9" xfId="0" applyFill="1" applyBorder="1"/>
    <xf numFmtId="0" fontId="0" fillId="8" borderId="9" xfId="0" applyFill="1" applyBorder="1" applyAlignment="1">
      <alignment horizontal="left"/>
    </xf>
    <xf numFmtId="0" fontId="11" fillId="8" borderId="9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 vertical="center"/>
    </xf>
    <xf numFmtId="0" fontId="4" fillId="8" borderId="0" xfId="1" applyFont="1" applyFill="1" applyAlignment="1">
      <alignment horizontal="center"/>
    </xf>
    <xf numFmtId="0" fontId="11" fillId="8" borderId="9" xfId="1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left" vertical="center"/>
    </xf>
  </cellXfs>
  <cellStyles count="3">
    <cellStyle name="Comma [0]" xfId="2" builtinId="6"/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9900"/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MTK Dasar'!B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UM!B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SUM 1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UMIF!B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SUMIF 1'!B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IFS!B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SUMIFS 2'!B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AVERAGE!B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AVERAGE 2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AVERAGEIF!B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AVERAGEIF 2'!B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AVERAGEIFS!B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AVERAGEIFS 2'!B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MAX!B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MIN!B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LARGE!B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MALL!B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IF!B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IFS!B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IF(AND)'!B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IF(OR)'!B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COUNT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COUNTA!B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COUNTBLANK!B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COUNTIF!B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COUNTIFS!B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PROPER!B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UPPER!B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LOWER!B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3'!B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LEFT!B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MID!B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RIGHT!B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LEN!B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4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TEXTJOIN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TRIM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VLOOKUP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VLOOKUP 2'!B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VLOOKUP 3'!B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HLOOKUP!B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HLOOKUP 2'!B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HLOOKUP 3'!B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PIVOT TABLE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PIVOT TABLE 2'!B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Home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2195720</xdr:colOff>
      <xdr:row>0</xdr:row>
      <xdr:rowOff>61292</xdr:rowOff>
    </xdr:from>
    <xdr:to>
      <xdr:col>4</xdr:col>
      <xdr:colOff>333374</xdr:colOff>
      <xdr:row>0</xdr:row>
      <xdr:rowOff>503583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86845" y="61292"/>
          <a:ext cx="471279" cy="442291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0</xdr:row>
          <xdr:rowOff>30480</xdr:rowOff>
        </xdr:from>
        <xdr:to>
          <xdr:col>3</xdr:col>
          <xdr:colOff>312420</xdr:colOff>
          <xdr:row>0</xdr:row>
          <xdr:rowOff>236220</xdr:rowOff>
        </xdr:to>
        <xdr:sp macro="" textlink="">
          <xdr:nvSpPr>
            <xdr:cNvPr id="62466" name="Check Box 2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1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243300</xdr:colOff>
      <xdr:row>0</xdr:row>
      <xdr:rowOff>47304</xdr:rowOff>
    </xdr:from>
    <xdr:to>
      <xdr:col>3</xdr:col>
      <xdr:colOff>422818</xdr:colOff>
      <xdr:row>0</xdr:row>
      <xdr:rowOff>223023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128678" y="47304"/>
          <a:ext cx="179518" cy="17571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0</xdr:row>
          <xdr:rowOff>30480</xdr:rowOff>
        </xdr:from>
        <xdr:to>
          <xdr:col>4</xdr:col>
          <xdr:colOff>723900</xdr:colOff>
          <xdr:row>0</xdr:row>
          <xdr:rowOff>251460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632602</xdr:colOff>
      <xdr:row>0</xdr:row>
      <xdr:rowOff>63540</xdr:rowOff>
    </xdr:from>
    <xdr:to>
      <xdr:col>4</xdr:col>
      <xdr:colOff>802285</xdr:colOff>
      <xdr:row>0</xdr:row>
      <xdr:rowOff>226444</xdr:rowOff>
    </xdr:to>
    <xdr:sp macro="" textlink="">
      <xdr:nvSpPr>
        <xdr:cNvPr id="4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915008" y="63540"/>
          <a:ext cx="169683" cy="162904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419100</xdr:colOff>
          <xdr:row>0</xdr:row>
          <xdr:rowOff>22860</xdr:rowOff>
        </xdr:from>
        <xdr:to>
          <xdr:col>5</xdr:col>
          <xdr:colOff>670560</xdr:colOff>
          <xdr:row>0</xdr:row>
          <xdr:rowOff>236220</xdr:rowOff>
        </xdr:to>
        <xdr:sp macro="" textlink="">
          <xdr:nvSpPr>
            <xdr:cNvPr id="63489" name="Check Box 1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03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656896</xdr:colOff>
      <xdr:row>0</xdr:row>
      <xdr:rowOff>53578</xdr:rowOff>
    </xdr:from>
    <xdr:to>
      <xdr:col>6</xdr:col>
      <xdr:colOff>88926</xdr:colOff>
      <xdr:row>0</xdr:row>
      <xdr:rowOff>223345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164724" y="53578"/>
          <a:ext cx="194030" cy="16976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1074420</xdr:colOff>
          <xdr:row>0</xdr:row>
          <xdr:rowOff>68580</xdr:rowOff>
        </xdr:from>
        <xdr:to>
          <xdr:col>5</xdr:col>
          <xdr:colOff>1295400</xdr:colOff>
          <xdr:row>0</xdr:row>
          <xdr:rowOff>289560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1308435</xdr:colOff>
      <xdr:row>0</xdr:row>
      <xdr:rowOff>94295</xdr:rowOff>
    </xdr:from>
    <xdr:to>
      <xdr:col>5</xdr:col>
      <xdr:colOff>1501227</xdr:colOff>
      <xdr:row>0</xdr:row>
      <xdr:rowOff>260684</xdr:rowOff>
    </xdr:to>
    <xdr:sp macro="" textlink="">
      <xdr:nvSpPr>
        <xdr:cNvPr id="4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306303" y="94295"/>
          <a:ext cx="192792" cy="16638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971550</xdr:colOff>
      <xdr:row>0</xdr:row>
      <xdr:rowOff>19050</xdr:rowOff>
    </xdr:from>
    <xdr:to>
      <xdr:col>4</xdr:col>
      <xdr:colOff>219076</xdr:colOff>
      <xdr:row>0</xdr:row>
      <xdr:rowOff>257175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86200" y="19050"/>
          <a:ext cx="238126" cy="2381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0</xdr:row>
          <xdr:rowOff>0</xdr:rowOff>
        </xdr:from>
        <xdr:to>
          <xdr:col>4</xdr:col>
          <xdr:colOff>68580</xdr:colOff>
          <xdr:row>0</xdr:row>
          <xdr:rowOff>274320</xdr:rowOff>
        </xdr:to>
        <xdr:sp macro="" textlink="">
          <xdr:nvSpPr>
            <xdr:cNvPr id="82946" name="Check Box 2" hidden="1">
              <a:extLst>
                <a:ext uri="{63B3BB69-23CF-44E3-9099-C40C66FF867C}">
                  <a14:compatExt spid="_x0000_s82946"/>
                </a:ext>
                <a:ext uri="{FF2B5EF4-FFF2-40B4-BE49-F238E27FC236}">
                  <a16:creationId xmlns:a16="http://schemas.microsoft.com/office/drawing/2014/main" id="{00000000-0008-0000-0500-000002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1097280</xdr:colOff>
          <xdr:row>0</xdr:row>
          <xdr:rowOff>68580</xdr:rowOff>
        </xdr:from>
        <xdr:to>
          <xdr:col>6</xdr:col>
          <xdr:colOff>1402080</xdr:colOff>
          <xdr:row>0</xdr:row>
          <xdr:rowOff>274320</xdr:rowOff>
        </xdr:to>
        <xdr:sp macro="" textlink="">
          <xdr:nvSpPr>
            <xdr:cNvPr id="24577" name="Check Box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6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1328057</xdr:colOff>
      <xdr:row>0</xdr:row>
      <xdr:rowOff>98879</xdr:rowOff>
    </xdr:from>
    <xdr:to>
      <xdr:col>6</xdr:col>
      <xdr:colOff>1501703</xdr:colOff>
      <xdr:row>0</xdr:row>
      <xdr:rowOff>261257</xdr:rowOff>
    </xdr:to>
    <xdr:sp macro="" textlink="">
      <xdr:nvSpPr>
        <xdr:cNvPr id="4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528457" y="98879"/>
          <a:ext cx="173646" cy="16237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0</xdr:row>
      <xdr:rowOff>28575</xdr:rowOff>
    </xdr:from>
    <xdr:to>
      <xdr:col>4</xdr:col>
      <xdr:colOff>676276</xdr:colOff>
      <xdr:row>0</xdr:row>
      <xdr:rowOff>266700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CE64B-1C23-4D85-AA96-18C6A700FB81}"/>
            </a:ext>
          </a:extLst>
        </xdr:cNvPr>
        <xdr:cNvSpPr/>
      </xdr:nvSpPr>
      <xdr:spPr>
        <a:xfrm>
          <a:off x="4543425" y="28575"/>
          <a:ext cx="219076" cy="2381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0</xdr:row>
          <xdr:rowOff>0</xdr:rowOff>
        </xdr:from>
        <xdr:to>
          <xdr:col>4</xdr:col>
          <xdr:colOff>533400</xdr:colOff>
          <xdr:row>0</xdr:row>
          <xdr:rowOff>274320</xdr:rowOff>
        </xdr:to>
        <xdr:sp macro="" textlink="">
          <xdr:nvSpPr>
            <xdr:cNvPr id="86017" name="Check Box 1" hidden="1">
              <a:extLst>
                <a:ext uri="{63B3BB69-23CF-44E3-9099-C40C66FF867C}">
                  <a14:compatExt spid="_x0000_s86017"/>
                </a:ext>
                <a:ext uri="{FF2B5EF4-FFF2-40B4-BE49-F238E27FC236}">
                  <a16:creationId xmlns:a16="http://schemas.microsoft.com/office/drawing/2014/main" id="{00000000-0008-0000-0700-0000015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693419</xdr:colOff>
      <xdr:row>0</xdr:row>
      <xdr:rowOff>75832</xdr:rowOff>
    </xdr:from>
    <xdr:to>
      <xdr:col>4</xdr:col>
      <xdr:colOff>863612</xdr:colOff>
      <xdr:row>0</xdr:row>
      <xdr:rowOff>217170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952749" y="75832"/>
          <a:ext cx="170193" cy="14133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464820</xdr:colOff>
          <xdr:row>0</xdr:row>
          <xdr:rowOff>38100</xdr:rowOff>
        </xdr:from>
        <xdr:to>
          <xdr:col>4</xdr:col>
          <xdr:colOff>769620</xdr:colOff>
          <xdr:row>0</xdr:row>
          <xdr:rowOff>251460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8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594360</xdr:colOff>
          <xdr:row>0</xdr:row>
          <xdr:rowOff>22860</xdr:rowOff>
        </xdr:from>
        <xdr:to>
          <xdr:col>6</xdr:col>
          <xdr:colOff>137160</xdr:colOff>
          <xdr:row>0</xdr:row>
          <xdr:rowOff>236220</xdr:rowOff>
        </xdr:to>
        <xdr:sp macro="" textlink="">
          <xdr:nvSpPr>
            <xdr:cNvPr id="64513" name="Check Box 1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9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45982</xdr:colOff>
      <xdr:row>0</xdr:row>
      <xdr:rowOff>61378</xdr:rowOff>
    </xdr:from>
    <xdr:to>
      <xdr:col>6</xdr:col>
      <xdr:colOff>252328</xdr:colOff>
      <xdr:row>0</xdr:row>
      <xdr:rowOff>223345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4315810" y="61378"/>
          <a:ext cx="206346" cy="16196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1409700</xdr:colOff>
          <xdr:row>0</xdr:row>
          <xdr:rowOff>60960</xdr:rowOff>
        </xdr:from>
        <xdr:to>
          <xdr:col>5</xdr:col>
          <xdr:colOff>1714500</xdr:colOff>
          <xdr:row>0</xdr:row>
          <xdr:rowOff>266700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A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1629275</xdr:colOff>
      <xdr:row>0</xdr:row>
      <xdr:rowOff>68036</xdr:rowOff>
    </xdr:from>
    <xdr:to>
      <xdr:col>5</xdr:col>
      <xdr:colOff>1836152</xdr:colOff>
      <xdr:row>0</xdr:row>
      <xdr:rowOff>250658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4541920" y="68036"/>
          <a:ext cx="206877" cy="18262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0</xdr:row>
      <xdr:rowOff>9524</xdr:rowOff>
    </xdr:from>
    <xdr:to>
      <xdr:col>5</xdr:col>
      <xdr:colOff>54356</xdr:colOff>
      <xdr:row>0</xdr:row>
      <xdr:rowOff>295275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857750" y="9524"/>
          <a:ext cx="273431" cy="285751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502920</xdr:colOff>
          <xdr:row>0</xdr:row>
          <xdr:rowOff>45720</xdr:rowOff>
        </xdr:from>
        <xdr:to>
          <xdr:col>4</xdr:col>
          <xdr:colOff>807720</xdr:colOff>
          <xdr:row>0</xdr:row>
          <xdr:rowOff>259080</xdr:rowOff>
        </xdr:to>
        <xdr:sp macro="" textlink="">
          <xdr:nvSpPr>
            <xdr:cNvPr id="72707" name="Check Box 3" hidden="1">
              <a:extLst>
                <a:ext uri="{63B3BB69-23CF-44E3-9099-C40C66FF867C}">
                  <a14:compatExt spid="_x0000_s72707"/>
                </a:ext>
                <a:ext uri="{FF2B5EF4-FFF2-40B4-BE49-F238E27FC236}">
                  <a16:creationId xmlns:a16="http://schemas.microsoft.com/office/drawing/2014/main" id="{00000000-0008-0000-0B00-000003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1356360</xdr:colOff>
          <xdr:row>0</xdr:row>
          <xdr:rowOff>68580</xdr:rowOff>
        </xdr:from>
        <xdr:to>
          <xdr:col>6</xdr:col>
          <xdr:colOff>1661160</xdr:colOff>
          <xdr:row>0</xdr:row>
          <xdr:rowOff>274320</xdr:rowOff>
        </xdr:to>
        <xdr:sp macro="" textlink="">
          <xdr:nvSpPr>
            <xdr:cNvPr id="25604" name="Check Box 4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:a16="http://schemas.microsoft.com/office/drawing/2014/main" id="{00000000-0008-0000-0C00-00000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1551212</xdr:colOff>
      <xdr:row>0</xdr:row>
      <xdr:rowOff>93435</xdr:rowOff>
    </xdr:from>
    <xdr:to>
      <xdr:col>6</xdr:col>
      <xdr:colOff>1733023</xdr:colOff>
      <xdr:row>0</xdr:row>
      <xdr:rowOff>261257</xdr:rowOff>
    </xdr:to>
    <xdr:sp macro="" textlink="">
      <xdr:nvSpPr>
        <xdr:cNvPr id="4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4800598" y="93435"/>
          <a:ext cx="181811" cy="16782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0</xdr:row>
      <xdr:rowOff>38101</xdr:rowOff>
    </xdr:from>
    <xdr:to>
      <xdr:col>5</xdr:col>
      <xdr:colOff>85726</xdr:colOff>
      <xdr:row>0</xdr:row>
      <xdr:rowOff>304801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4905375" y="38101"/>
          <a:ext cx="257176" cy="2667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601980</xdr:colOff>
          <xdr:row>0</xdr:row>
          <xdr:rowOff>60960</xdr:rowOff>
        </xdr:from>
        <xdr:to>
          <xdr:col>4</xdr:col>
          <xdr:colOff>906780</xdr:colOff>
          <xdr:row>0</xdr:row>
          <xdr:rowOff>266700</xdr:rowOff>
        </xdr:to>
        <xdr:sp macro="" textlink="">
          <xdr:nvSpPr>
            <xdr:cNvPr id="74753" name="Check Box 1" hidden="1">
              <a:extLst>
                <a:ext uri="{63B3BB69-23CF-44E3-9099-C40C66FF867C}">
                  <a14:compatExt spid="_x0000_s74753"/>
                </a:ext>
                <a:ext uri="{FF2B5EF4-FFF2-40B4-BE49-F238E27FC236}">
                  <a16:creationId xmlns:a16="http://schemas.microsoft.com/office/drawing/2014/main" id="{00000000-0008-0000-0D00-000001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0</xdr:row>
          <xdr:rowOff>45720</xdr:rowOff>
        </xdr:from>
        <xdr:to>
          <xdr:col>5</xdr:col>
          <xdr:colOff>464820</xdr:colOff>
          <xdr:row>0</xdr:row>
          <xdr:rowOff>289560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416091</xdr:colOff>
      <xdr:row>0</xdr:row>
      <xdr:rowOff>103036</xdr:rowOff>
    </xdr:from>
    <xdr:to>
      <xdr:col>5</xdr:col>
      <xdr:colOff>580130</xdr:colOff>
      <xdr:row>0</xdr:row>
      <xdr:rowOff>255672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3749841" y="103036"/>
          <a:ext cx="164039" cy="15263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144780</xdr:colOff>
          <xdr:row>0</xdr:row>
          <xdr:rowOff>60960</xdr:rowOff>
        </xdr:from>
        <xdr:to>
          <xdr:col>5</xdr:col>
          <xdr:colOff>441960</xdr:colOff>
          <xdr:row>0</xdr:row>
          <xdr:rowOff>297180</xdr:rowOff>
        </xdr:to>
        <xdr:sp macro="" textlink="">
          <xdr:nvSpPr>
            <xdr:cNvPr id="29697" name="Check Box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F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380999</xdr:colOff>
      <xdr:row>0</xdr:row>
      <xdr:rowOff>94930</xdr:rowOff>
    </xdr:from>
    <xdr:to>
      <xdr:col>5</xdr:col>
      <xdr:colOff>540024</xdr:colOff>
      <xdr:row>0</xdr:row>
      <xdr:rowOff>255671</xdr:rowOff>
    </xdr:to>
    <xdr:sp macro="" textlink="">
      <xdr:nvSpPr>
        <xdr:cNvPr id="4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3714749" y="94930"/>
          <a:ext cx="159025" cy="160741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596565</xdr:colOff>
      <xdr:row>0</xdr:row>
      <xdr:rowOff>90876</xdr:rowOff>
    </xdr:from>
    <xdr:to>
      <xdr:col>6</xdr:col>
      <xdr:colOff>23457</xdr:colOff>
      <xdr:row>0</xdr:row>
      <xdr:rowOff>260685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3930315" y="90876"/>
          <a:ext cx="188892" cy="16980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0</xdr:row>
          <xdr:rowOff>45720</xdr:rowOff>
        </xdr:from>
        <xdr:to>
          <xdr:col>5</xdr:col>
          <xdr:colOff>655320</xdr:colOff>
          <xdr:row>0</xdr:row>
          <xdr:rowOff>289560</xdr:rowOff>
        </xdr:to>
        <xdr:sp macro="" textlink="">
          <xdr:nvSpPr>
            <xdr:cNvPr id="30723" name="Check Box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10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0</xdr:row>
          <xdr:rowOff>45720</xdr:rowOff>
        </xdr:from>
        <xdr:to>
          <xdr:col>5</xdr:col>
          <xdr:colOff>655320</xdr:colOff>
          <xdr:row>0</xdr:row>
          <xdr:rowOff>289560</xdr:rowOff>
        </xdr:to>
        <xdr:sp macro="" textlink="">
          <xdr:nvSpPr>
            <xdr:cNvPr id="31746" name="Check Box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11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591553</xdr:colOff>
      <xdr:row>0</xdr:row>
      <xdr:rowOff>95889</xdr:rowOff>
    </xdr:from>
    <xdr:to>
      <xdr:col>5</xdr:col>
      <xdr:colOff>759431</xdr:colOff>
      <xdr:row>0</xdr:row>
      <xdr:rowOff>255671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3925303" y="95889"/>
          <a:ext cx="167878" cy="15978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0</xdr:row>
          <xdr:rowOff>22860</xdr:rowOff>
        </xdr:from>
        <xdr:to>
          <xdr:col>6</xdr:col>
          <xdr:colOff>480060</xdr:colOff>
          <xdr:row>0</xdr:row>
          <xdr:rowOff>259080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12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408878</xdr:colOff>
      <xdr:row>0</xdr:row>
      <xdr:rowOff>52425</xdr:rowOff>
    </xdr:from>
    <xdr:to>
      <xdr:col>6</xdr:col>
      <xdr:colOff>569412</xdr:colOff>
      <xdr:row>0</xdr:row>
      <xdr:rowOff>223024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3810000" y="52425"/>
          <a:ext cx="160534" cy="17059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0</xdr:row>
          <xdr:rowOff>22860</xdr:rowOff>
        </xdr:from>
        <xdr:to>
          <xdr:col>6</xdr:col>
          <xdr:colOff>609600</xdr:colOff>
          <xdr:row>0</xdr:row>
          <xdr:rowOff>259080</xdr:rowOff>
        </xdr:to>
        <xdr:sp macro="" textlink="">
          <xdr:nvSpPr>
            <xdr:cNvPr id="65537" name="Check Box 1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13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532533</xdr:colOff>
      <xdr:row>0</xdr:row>
      <xdr:rowOff>66985</xdr:rowOff>
    </xdr:from>
    <xdr:to>
      <xdr:col>6</xdr:col>
      <xdr:colOff>696239</xdr:colOff>
      <xdr:row>0</xdr:row>
      <xdr:rowOff>216477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3935556" y="66985"/>
          <a:ext cx="163706" cy="14949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289560</xdr:colOff>
          <xdr:row>0</xdr:row>
          <xdr:rowOff>45720</xdr:rowOff>
        </xdr:from>
        <xdr:to>
          <xdr:col>9</xdr:col>
          <xdr:colOff>579120</xdr:colOff>
          <xdr:row>0</xdr:row>
          <xdr:rowOff>289560</xdr:rowOff>
        </xdr:to>
        <xdr:sp macro="" textlink="">
          <xdr:nvSpPr>
            <xdr:cNvPr id="66561" name="Check Box 1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4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523874</xdr:colOff>
      <xdr:row>0</xdr:row>
      <xdr:rowOff>81150</xdr:rowOff>
    </xdr:from>
    <xdr:to>
      <xdr:col>9</xdr:col>
      <xdr:colOff>709951</xdr:colOff>
      <xdr:row>0</xdr:row>
      <xdr:rowOff>267890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5744765" y="81150"/>
          <a:ext cx="186077" cy="18674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0</xdr:row>
          <xdr:rowOff>7620</xdr:rowOff>
        </xdr:from>
        <xdr:to>
          <xdr:col>8</xdr:col>
          <xdr:colOff>1203960</xdr:colOff>
          <xdr:row>0</xdr:row>
          <xdr:rowOff>236220</xdr:rowOff>
        </xdr:to>
        <xdr:sp macro="" textlink="">
          <xdr:nvSpPr>
            <xdr:cNvPr id="67585" name="Check Box 1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5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1135674</xdr:colOff>
      <xdr:row>0</xdr:row>
      <xdr:rowOff>46251</xdr:rowOff>
    </xdr:from>
    <xdr:to>
      <xdr:col>8</xdr:col>
      <xdr:colOff>1305338</xdr:colOff>
      <xdr:row>0</xdr:row>
      <xdr:rowOff>227135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6425712" y="46251"/>
          <a:ext cx="169664" cy="180884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676775</xdr:colOff>
      <xdr:row>0</xdr:row>
      <xdr:rowOff>107303</xdr:rowOff>
    </xdr:from>
    <xdr:to>
      <xdr:col>6</xdr:col>
      <xdr:colOff>842841</xdr:colOff>
      <xdr:row>0</xdr:row>
      <xdr:rowOff>255672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4958012" y="107303"/>
          <a:ext cx="166066" cy="14836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0</xdr:row>
          <xdr:rowOff>68580</xdr:rowOff>
        </xdr:from>
        <xdr:to>
          <xdr:col>6</xdr:col>
          <xdr:colOff>754380</xdr:colOff>
          <xdr:row>0</xdr:row>
          <xdr:rowOff>297180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16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45744</xdr:colOff>
      <xdr:row>0</xdr:row>
      <xdr:rowOff>137069</xdr:rowOff>
    </xdr:from>
    <xdr:to>
      <xdr:col>6</xdr:col>
      <xdr:colOff>211810</xdr:colOff>
      <xdr:row>0</xdr:row>
      <xdr:rowOff>285438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01F58-CCA6-4899-82E1-882576EBAFBD}"/>
            </a:ext>
          </a:extLst>
        </xdr:cNvPr>
        <xdr:cNvSpPr/>
      </xdr:nvSpPr>
      <xdr:spPr>
        <a:xfrm>
          <a:off x="4320088" y="137069"/>
          <a:ext cx="166066" cy="14836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0</xdr:row>
          <xdr:rowOff>83820</xdr:rowOff>
        </xdr:from>
        <xdr:to>
          <xdr:col>6</xdr:col>
          <xdr:colOff>114300</xdr:colOff>
          <xdr:row>0</xdr:row>
          <xdr:rowOff>312420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17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2293620</xdr:colOff>
          <xdr:row>0</xdr:row>
          <xdr:rowOff>60960</xdr:rowOff>
        </xdr:from>
        <xdr:to>
          <xdr:col>4</xdr:col>
          <xdr:colOff>2590800</xdr:colOff>
          <xdr:row>0</xdr:row>
          <xdr:rowOff>289560</xdr:rowOff>
        </xdr:to>
        <xdr:sp macro="" textlink="">
          <xdr:nvSpPr>
            <xdr:cNvPr id="47107" name="Check Box 3" hidden="1">
              <a:extLst>
                <a:ext uri="{63B3BB69-23CF-44E3-9099-C40C66FF867C}">
                  <a14:compatExt spid="_x0000_s47107"/>
                </a:ext>
                <a:ext uri="{FF2B5EF4-FFF2-40B4-BE49-F238E27FC236}">
                  <a16:creationId xmlns:a16="http://schemas.microsoft.com/office/drawing/2014/main" id="{00000000-0008-0000-1800-000003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2536030</xdr:colOff>
      <xdr:row>0</xdr:row>
      <xdr:rowOff>61557</xdr:rowOff>
    </xdr:from>
    <xdr:to>
      <xdr:col>5</xdr:col>
      <xdr:colOff>119062</xdr:colOff>
      <xdr:row>0</xdr:row>
      <xdr:rowOff>285750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5488780" y="61557"/>
          <a:ext cx="202407" cy="22419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1303020</xdr:colOff>
          <xdr:row>0</xdr:row>
          <xdr:rowOff>45720</xdr:rowOff>
        </xdr:from>
        <xdr:to>
          <xdr:col>6</xdr:col>
          <xdr:colOff>137160</xdr:colOff>
          <xdr:row>0</xdr:row>
          <xdr:rowOff>274320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136070</xdr:colOff>
      <xdr:row>0</xdr:row>
      <xdr:rowOff>62792</xdr:rowOff>
    </xdr:from>
    <xdr:to>
      <xdr:col>6</xdr:col>
      <xdr:colOff>325071</xdr:colOff>
      <xdr:row>0</xdr:row>
      <xdr:rowOff>239486</xdr:rowOff>
    </xdr:to>
    <xdr:sp macro="" textlink="">
      <xdr:nvSpPr>
        <xdr:cNvPr id="4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5094513" y="62792"/>
          <a:ext cx="189001" cy="176694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1431472</xdr:colOff>
      <xdr:row>0</xdr:row>
      <xdr:rowOff>67438</xdr:rowOff>
    </xdr:from>
    <xdr:to>
      <xdr:col>6</xdr:col>
      <xdr:colOff>156874</xdr:colOff>
      <xdr:row>0</xdr:row>
      <xdr:rowOff>239486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4920343" y="67438"/>
          <a:ext cx="194974" cy="17204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1188720</xdr:colOff>
          <xdr:row>0</xdr:row>
          <xdr:rowOff>30480</xdr:rowOff>
        </xdr:from>
        <xdr:to>
          <xdr:col>6</xdr:col>
          <xdr:colOff>7620</xdr:colOff>
          <xdr:row>0</xdr:row>
          <xdr:rowOff>259080</xdr:rowOff>
        </xdr:to>
        <xdr:sp macro="" textlink="">
          <xdr:nvSpPr>
            <xdr:cNvPr id="48130" name="Check Box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1A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165807</xdr:colOff>
      <xdr:row>0</xdr:row>
      <xdr:rowOff>162715</xdr:rowOff>
    </xdr:from>
    <xdr:to>
      <xdr:col>4</xdr:col>
      <xdr:colOff>280908</xdr:colOff>
      <xdr:row>0</xdr:row>
      <xdr:rowOff>267992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2548671" y="162715"/>
          <a:ext cx="115101" cy="10527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0</xdr:row>
          <xdr:rowOff>106680</xdr:rowOff>
        </xdr:from>
        <xdr:to>
          <xdr:col>4</xdr:col>
          <xdr:colOff>137160</xdr:colOff>
          <xdr:row>0</xdr:row>
          <xdr:rowOff>297180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487680</xdr:colOff>
          <xdr:row>0</xdr:row>
          <xdr:rowOff>45720</xdr:rowOff>
        </xdr:from>
        <xdr:to>
          <xdr:col>5</xdr:col>
          <xdr:colOff>7620</xdr:colOff>
          <xdr:row>0</xdr:row>
          <xdr:rowOff>274320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1C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707110</xdr:colOff>
      <xdr:row>0</xdr:row>
      <xdr:rowOff>87906</xdr:rowOff>
    </xdr:from>
    <xdr:to>
      <xdr:col>5</xdr:col>
      <xdr:colOff>102741</xdr:colOff>
      <xdr:row>0</xdr:row>
      <xdr:rowOff>258306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089974" y="87906"/>
          <a:ext cx="157631" cy="1704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745856</xdr:colOff>
      <xdr:row>0</xdr:row>
      <xdr:rowOff>82541</xdr:rowOff>
    </xdr:from>
    <xdr:to>
      <xdr:col>5</xdr:col>
      <xdr:colOff>160816</xdr:colOff>
      <xdr:row>0</xdr:row>
      <xdr:rowOff>255077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3128720" y="82541"/>
          <a:ext cx="176960" cy="17253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0</xdr:row>
          <xdr:rowOff>38100</xdr:rowOff>
        </xdr:from>
        <xdr:to>
          <xdr:col>4</xdr:col>
          <xdr:colOff>746760</xdr:colOff>
          <xdr:row>0</xdr:row>
          <xdr:rowOff>266700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1D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498231</xdr:colOff>
      <xdr:row>1</xdr:row>
      <xdr:rowOff>14653</xdr:rowOff>
    </xdr:from>
    <xdr:to>
      <xdr:col>6</xdr:col>
      <xdr:colOff>93190</xdr:colOff>
      <xdr:row>1</xdr:row>
      <xdr:rowOff>187835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9092712" y="139211"/>
          <a:ext cx="349632" cy="17318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0</xdr:row>
          <xdr:rowOff>0</xdr:rowOff>
        </xdr:from>
        <xdr:to>
          <xdr:col>3</xdr:col>
          <xdr:colOff>1242060</xdr:colOff>
          <xdr:row>0</xdr:row>
          <xdr:rowOff>228600</xdr:rowOff>
        </xdr:to>
        <xdr:sp macro="" textlink="">
          <xdr:nvSpPr>
            <xdr:cNvPr id="95233" name="Check Box 1" hidden="1">
              <a:extLst>
                <a:ext uri="{63B3BB69-23CF-44E3-9099-C40C66FF867C}">
                  <a14:compatExt spid="_x0000_s95233"/>
                </a:ext>
                <a:ext uri="{FF2B5EF4-FFF2-40B4-BE49-F238E27FC236}">
                  <a16:creationId xmlns:a16="http://schemas.microsoft.com/office/drawing/2014/main" id="{00000000-0008-0000-1E00-000001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1194289</xdr:colOff>
      <xdr:row>0</xdr:row>
      <xdr:rowOff>43961</xdr:rowOff>
    </xdr:from>
    <xdr:to>
      <xdr:col>3</xdr:col>
      <xdr:colOff>1371249</xdr:colOff>
      <xdr:row>0</xdr:row>
      <xdr:rowOff>216497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FE428-B88B-43D5-B6E0-F0E96320CEFF}"/>
            </a:ext>
          </a:extLst>
        </xdr:cNvPr>
        <xdr:cNvSpPr/>
      </xdr:nvSpPr>
      <xdr:spPr>
        <a:xfrm>
          <a:off x="5641731" y="43961"/>
          <a:ext cx="176960" cy="17253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743564</xdr:colOff>
      <xdr:row>0</xdr:row>
      <xdr:rowOff>37102</xdr:rowOff>
    </xdr:from>
    <xdr:to>
      <xdr:col>4</xdr:col>
      <xdr:colOff>143231</xdr:colOff>
      <xdr:row>0</xdr:row>
      <xdr:rowOff>199718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2467282" y="37102"/>
          <a:ext cx="161667" cy="16261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525780</xdr:colOff>
          <xdr:row>0</xdr:row>
          <xdr:rowOff>7620</xdr:rowOff>
        </xdr:from>
        <xdr:to>
          <xdr:col>4</xdr:col>
          <xdr:colOff>45720</xdr:colOff>
          <xdr:row>1</xdr:row>
          <xdr:rowOff>22860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1F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601980</xdr:colOff>
          <xdr:row>0</xdr:row>
          <xdr:rowOff>0</xdr:rowOff>
        </xdr:from>
        <xdr:to>
          <xdr:col>4</xdr:col>
          <xdr:colOff>121920</xdr:colOff>
          <xdr:row>1</xdr:row>
          <xdr:rowOff>7620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20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49161</xdr:colOff>
      <xdr:row>0</xdr:row>
      <xdr:rowOff>42555</xdr:rowOff>
    </xdr:from>
    <xdr:to>
      <xdr:col>4</xdr:col>
      <xdr:colOff>199537</xdr:colOff>
      <xdr:row>0</xdr:row>
      <xdr:rowOff>187428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/>
      </xdr:nvSpPr>
      <xdr:spPr>
        <a:xfrm>
          <a:off x="2534879" y="42555"/>
          <a:ext cx="150376" cy="14487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21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617220</xdr:colOff>
          <xdr:row>0</xdr:row>
          <xdr:rowOff>0</xdr:rowOff>
        </xdr:from>
        <xdr:to>
          <xdr:col>4</xdr:col>
          <xdr:colOff>144780</xdr:colOff>
          <xdr:row>1</xdr:row>
          <xdr:rowOff>7620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21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77491</xdr:colOff>
      <xdr:row>0</xdr:row>
      <xdr:rowOff>24498</xdr:rowOff>
    </xdr:from>
    <xdr:to>
      <xdr:col>4</xdr:col>
      <xdr:colOff>260638</xdr:colOff>
      <xdr:row>0</xdr:row>
      <xdr:rowOff>206643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2563677" y="24498"/>
          <a:ext cx="183147" cy="18214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632460</xdr:colOff>
          <xdr:row>0</xdr:row>
          <xdr:rowOff>38100</xdr:rowOff>
        </xdr:from>
        <xdr:to>
          <xdr:col>5</xdr:col>
          <xdr:colOff>38100</xdr:colOff>
          <xdr:row>0</xdr:row>
          <xdr:rowOff>266700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22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855634</xdr:colOff>
      <xdr:row>0</xdr:row>
      <xdr:rowOff>61916</xdr:rowOff>
    </xdr:from>
    <xdr:to>
      <xdr:col>5</xdr:col>
      <xdr:colOff>175845</xdr:colOff>
      <xdr:row>0</xdr:row>
      <xdr:rowOff>255075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264329" y="61916"/>
          <a:ext cx="195219" cy="19315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83820</xdr:colOff>
          <xdr:row>0</xdr:row>
          <xdr:rowOff>83820</xdr:rowOff>
        </xdr:from>
        <xdr:to>
          <xdr:col>5</xdr:col>
          <xdr:colOff>373380</xdr:colOff>
          <xdr:row>0</xdr:row>
          <xdr:rowOff>312420</xdr:rowOff>
        </xdr:to>
        <xdr:sp macro="" textlink="">
          <xdr:nvSpPr>
            <xdr:cNvPr id="125953" name="Check Box 1" hidden="1">
              <a:extLst>
                <a:ext uri="{63B3BB69-23CF-44E3-9099-C40C66FF867C}">
                  <a14:compatExt spid="_x0000_s125953"/>
                </a:ext>
                <a:ext uri="{FF2B5EF4-FFF2-40B4-BE49-F238E27FC236}">
                  <a16:creationId xmlns:a16="http://schemas.microsoft.com/office/drawing/2014/main" id="{00000000-0008-0000-2300-000001E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314325</xdr:colOff>
      <xdr:row>0</xdr:row>
      <xdr:rowOff>66675</xdr:rowOff>
    </xdr:from>
    <xdr:to>
      <xdr:col>5</xdr:col>
      <xdr:colOff>514350</xdr:colOff>
      <xdr:row>0</xdr:row>
      <xdr:rowOff>314325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07EF10-12DC-486A-B6DF-1623334728FA}"/>
            </a:ext>
          </a:extLst>
        </xdr:cNvPr>
        <xdr:cNvSpPr/>
      </xdr:nvSpPr>
      <xdr:spPr>
        <a:xfrm>
          <a:off x="5743575" y="66675"/>
          <a:ext cx="200025" cy="2476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1217543</xdr:colOff>
      <xdr:row>0</xdr:row>
      <xdr:rowOff>31956</xdr:rowOff>
    </xdr:from>
    <xdr:to>
      <xdr:col>3</xdr:col>
      <xdr:colOff>1409910</xdr:colOff>
      <xdr:row>0</xdr:row>
      <xdr:rowOff>231912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F82C3-9D4E-45FA-8F2F-6575408A4BD7}"/>
            </a:ext>
          </a:extLst>
        </xdr:cNvPr>
        <xdr:cNvSpPr/>
      </xdr:nvSpPr>
      <xdr:spPr>
        <a:xfrm>
          <a:off x="4779065" y="31956"/>
          <a:ext cx="192367" cy="19995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990600</xdr:colOff>
          <xdr:row>0</xdr:row>
          <xdr:rowOff>38100</xdr:rowOff>
        </xdr:from>
        <xdr:to>
          <xdr:col>3</xdr:col>
          <xdr:colOff>1173480</xdr:colOff>
          <xdr:row>0</xdr:row>
          <xdr:rowOff>236220</xdr:rowOff>
        </xdr:to>
        <xdr:sp macro="" textlink="">
          <xdr:nvSpPr>
            <xdr:cNvPr id="126977" name="Check Box 1" hidden="1">
              <a:extLst>
                <a:ext uri="{63B3BB69-23CF-44E3-9099-C40C66FF867C}">
                  <a14:compatExt spid="_x0000_s126977"/>
                </a:ext>
                <a:ext uri="{FF2B5EF4-FFF2-40B4-BE49-F238E27FC236}">
                  <a16:creationId xmlns:a16="http://schemas.microsoft.com/office/drawing/2014/main" id="{00000000-0008-0000-2400-000001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1507985</xdr:colOff>
      <xdr:row>0</xdr:row>
      <xdr:rowOff>61360</xdr:rowOff>
    </xdr:from>
    <xdr:to>
      <xdr:col>2</xdr:col>
      <xdr:colOff>1706217</xdr:colOff>
      <xdr:row>0</xdr:row>
      <xdr:rowOff>240196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C1BD0E-DB94-456A-BA7E-B151642D9CF8}"/>
            </a:ext>
          </a:extLst>
        </xdr:cNvPr>
        <xdr:cNvSpPr/>
      </xdr:nvSpPr>
      <xdr:spPr>
        <a:xfrm>
          <a:off x="4481442" y="61360"/>
          <a:ext cx="198232" cy="17883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1280160</xdr:colOff>
          <xdr:row>0</xdr:row>
          <xdr:rowOff>0</xdr:rowOff>
        </xdr:from>
        <xdr:to>
          <xdr:col>2</xdr:col>
          <xdr:colOff>1531620</xdr:colOff>
          <xdr:row>1</xdr:row>
          <xdr:rowOff>38100</xdr:rowOff>
        </xdr:to>
        <xdr:sp macro="" textlink="">
          <xdr:nvSpPr>
            <xdr:cNvPr id="129025" name="Check Box 1" hidden="1">
              <a:extLst>
                <a:ext uri="{63B3BB69-23CF-44E3-9099-C40C66FF867C}">
                  <a14:compatExt spid="_x0000_s129025"/>
                </a:ext>
                <a:ext uri="{FF2B5EF4-FFF2-40B4-BE49-F238E27FC236}">
                  <a16:creationId xmlns:a16="http://schemas.microsoft.com/office/drawing/2014/main" id="{00000000-0008-0000-2500-000001F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554181</xdr:colOff>
      <xdr:row>0</xdr:row>
      <xdr:rowOff>42949</xdr:rowOff>
    </xdr:from>
    <xdr:to>
      <xdr:col>7</xdr:col>
      <xdr:colOff>763362</xdr:colOff>
      <xdr:row>0</xdr:row>
      <xdr:rowOff>220807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>
          <a:off x="3762374" y="42949"/>
          <a:ext cx="209181" cy="17785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312420</xdr:colOff>
          <xdr:row>0</xdr:row>
          <xdr:rowOff>7620</xdr:rowOff>
        </xdr:from>
        <xdr:to>
          <xdr:col>7</xdr:col>
          <xdr:colOff>601980</xdr:colOff>
          <xdr:row>0</xdr:row>
          <xdr:rowOff>236220</xdr:rowOff>
        </xdr:to>
        <xdr:sp macro="" textlink="">
          <xdr:nvSpPr>
            <xdr:cNvPr id="59393" name="Check Box 1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26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0</xdr:row>
      <xdr:rowOff>0</xdr:rowOff>
    </xdr:from>
    <xdr:to>
      <xdr:col>7</xdr:col>
      <xdr:colOff>514351</xdr:colOff>
      <xdr:row>1</xdr:row>
      <xdr:rowOff>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/>
      </xdr:nvSpPr>
      <xdr:spPr>
        <a:xfrm>
          <a:off x="5572125" y="0"/>
          <a:ext cx="219076" cy="3048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0</xdr:row>
          <xdr:rowOff>22860</xdr:rowOff>
        </xdr:from>
        <xdr:to>
          <xdr:col>7</xdr:col>
          <xdr:colOff>327660</xdr:colOff>
          <xdr:row>0</xdr:row>
          <xdr:rowOff>251460</xdr:rowOff>
        </xdr:to>
        <xdr:sp macro="" textlink="">
          <xdr:nvSpPr>
            <xdr:cNvPr id="116737" name="Check Box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27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13138</xdr:colOff>
      <xdr:row>0</xdr:row>
      <xdr:rowOff>6569</xdr:rowOff>
    </xdr:from>
    <xdr:to>
      <xdr:col>8</xdr:col>
      <xdr:colOff>204663</xdr:colOff>
      <xdr:row>0</xdr:row>
      <xdr:rowOff>243052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4466897" y="6569"/>
          <a:ext cx="191525" cy="23648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601980</xdr:colOff>
          <xdr:row>0</xdr:row>
          <xdr:rowOff>0</xdr:rowOff>
        </xdr:from>
        <xdr:to>
          <xdr:col>8</xdr:col>
          <xdr:colOff>45720</xdr:colOff>
          <xdr:row>0</xdr:row>
          <xdr:rowOff>228600</xdr:rowOff>
        </xdr:to>
        <xdr:sp macro="" textlink="">
          <xdr:nvSpPr>
            <xdr:cNvPr id="117761" name="Check Box 1" hidden="1">
              <a:extLst>
                <a:ext uri="{63B3BB69-23CF-44E3-9099-C40C66FF867C}">
                  <a14:compatExt spid="_x0000_s117761"/>
                </a:ext>
                <a:ext uri="{FF2B5EF4-FFF2-40B4-BE49-F238E27FC236}">
                  <a16:creationId xmlns:a16="http://schemas.microsoft.com/office/drawing/2014/main" id="{00000000-0008-0000-2800-000001C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990600</xdr:colOff>
          <xdr:row>0</xdr:row>
          <xdr:rowOff>22860</xdr:rowOff>
        </xdr:from>
        <xdr:to>
          <xdr:col>5</xdr:col>
          <xdr:colOff>190500</xdr:colOff>
          <xdr:row>0</xdr:row>
          <xdr:rowOff>251460</xdr:rowOff>
        </xdr:to>
        <xdr:sp macro="" textlink="">
          <xdr:nvSpPr>
            <xdr:cNvPr id="60417" name="Check Box 1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29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173710</xdr:colOff>
      <xdr:row>0</xdr:row>
      <xdr:rowOff>75504</xdr:rowOff>
    </xdr:from>
    <xdr:to>
      <xdr:col>5</xdr:col>
      <xdr:colOff>306659</xdr:colOff>
      <xdr:row>0</xdr:row>
      <xdr:rowOff>195146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>
          <a:off x="4490161" y="75504"/>
          <a:ext cx="132949" cy="11964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756088</xdr:colOff>
      <xdr:row>0</xdr:row>
      <xdr:rowOff>82769</xdr:rowOff>
    </xdr:from>
    <xdr:to>
      <xdr:col>6</xdr:col>
      <xdr:colOff>947613</xdr:colOff>
      <xdr:row>0</xdr:row>
      <xdr:rowOff>319252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B5E27D-077E-4A9D-A727-28675B8A09C1}"/>
            </a:ext>
          </a:extLst>
        </xdr:cNvPr>
        <xdr:cNvSpPr/>
      </xdr:nvSpPr>
      <xdr:spPr>
        <a:xfrm>
          <a:off x="6309163" y="82769"/>
          <a:ext cx="191525" cy="23648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0</xdr:row>
          <xdr:rowOff>76200</xdr:rowOff>
        </xdr:from>
        <xdr:to>
          <xdr:col>6</xdr:col>
          <xdr:colOff>731520</xdr:colOff>
          <xdr:row>0</xdr:row>
          <xdr:rowOff>327660</xdr:rowOff>
        </xdr:to>
        <xdr:sp macro="" textlink="">
          <xdr:nvSpPr>
            <xdr:cNvPr id="119809" name="Check Box 1" hidden="1">
              <a:extLst>
                <a:ext uri="{63B3BB69-23CF-44E3-9099-C40C66FF867C}">
                  <a14:compatExt spid="_x0000_s119809"/>
                </a:ext>
                <a:ext uri="{FF2B5EF4-FFF2-40B4-BE49-F238E27FC236}">
                  <a16:creationId xmlns:a16="http://schemas.microsoft.com/office/drawing/2014/main" id="{00000000-0008-0000-2A00-000001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7326</xdr:colOff>
      <xdr:row>0</xdr:row>
      <xdr:rowOff>43963</xdr:rowOff>
    </xdr:from>
    <xdr:to>
      <xdr:col>8</xdr:col>
      <xdr:colOff>146539</xdr:colOff>
      <xdr:row>0</xdr:row>
      <xdr:rowOff>300405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/>
      </xdr:nvSpPr>
      <xdr:spPr>
        <a:xfrm>
          <a:off x="4418134" y="43963"/>
          <a:ext cx="190501" cy="256442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563880</xdr:colOff>
          <xdr:row>0</xdr:row>
          <xdr:rowOff>60960</xdr:rowOff>
        </xdr:from>
        <xdr:to>
          <xdr:col>8</xdr:col>
          <xdr:colOff>7620</xdr:colOff>
          <xdr:row>0</xdr:row>
          <xdr:rowOff>289560</xdr:rowOff>
        </xdr:to>
        <xdr:sp macro="" textlink="">
          <xdr:nvSpPr>
            <xdr:cNvPr id="120834" name="Check Box 2" hidden="1">
              <a:extLst>
                <a:ext uri="{63B3BB69-23CF-44E3-9099-C40C66FF867C}">
                  <a14:compatExt spid="_x0000_s120834"/>
                </a:ext>
                <a:ext uri="{FF2B5EF4-FFF2-40B4-BE49-F238E27FC236}">
                  <a16:creationId xmlns:a16="http://schemas.microsoft.com/office/drawing/2014/main" id="{00000000-0008-0000-2B00-000002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315058</xdr:colOff>
      <xdr:row>0</xdr:row>
      <xdr:rowOff>102578</xdr:rowOff>
    </xdr:from>
    <xdr:to>
      <xdr:col>13</xdr:col>
      <xdr:colOff>109904</xdr:colOff>
      <xdr:row>1</xdr:row>
      <xdr:rowOff>87923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/>
      </xdr:nvSpPr>
      <xdr:spPr>
        <a:xfrm>
          <a:off x="8521212" y="102578"/>
          <a:ext cx="212480" cy="19782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68580</xdr:colOff>
          <xdr:row>0</xdr:row>
          <xdr:rowOff>76200</xdr:rowOff>
        </xdr:from>
        <xdr:to>
          <xdr:col>12</xdr:col>
          <xdr:colOff>350520</xdr:colOff>
          <xdr:row>1</xdr:row>
          <xdr:rowOff>99060</xdr:rowOff>
        </xdr:to>
        <xdr:sp macro="" textlink="">
          <xdr:nvSpPr>
            <xdr:cNvPr id="71681" name="Check Box 1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2C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18</xdr:row>
      <xdr:rowOff>152400</xdr:rowOff>
    </xdr:from>
    <xdr:to>
      <xdr:col>16</xdr:col>
      <xdr:colOff>114300</xdr:colOff>
      <xdr:row>22</xdr:row>
      <xdr:rowOff>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/>
      </xdr:nvSpPr>
      <xdr:spPr>
        <a:xfrm>
          <a:off x="11210925" y="3657600"/>
          <a:ext cx="1028700" cy="609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365760</xdr:colOff>
          <xdr:row>2</xdr:row>
          <xdr:rowOff>160020</xdr:rowOff>
        </xdr:from>
        <xdr:to>
          <xdr:col>13</xdr:col>
          <xdr:colOff>647700</xdr:colOff>
          <xdr:row>4</xdr:row>
          <xdr:rowOff>7620</xdr:rowOff>
        </xdr:to>
        <xdr:sp macro="" textlink="">
          <xdr:nvSpPr>
            <xdr:cNvPr id="124929" name="Check Box 1" hidden="1">
              <a:extLst>
                <a:ext uri="{63B3BB69-23CF-44E3-9099-C40C66FF867C}">
                  <a14:compatExt spid="_x0000_s124929"/>
                </a:ext>
                <a:ext uri="{FF2B5EF4-FFF2-40B4-BE49-F238E27FC236}">
                  <a16:creationId xmlns:a16="http://schemas.microsoft.com/office/drawing/2014/main" id="{00000000-0008-0000-2D00-000001E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600075</xdr:colOff>
      <xdr:row>2</xdr:row>
      <xdr:rowOff>180975</xdr:rowOff>
    </xdr:from>
    <xdr:to>
      <xdr:col>13</xdr:col>
      <xdr:colOff>812555</xdr:colOff>
      <xdr:row>3</xdr:row>
      <xdr:rowOff>188301</xdr:rowOff>
    </xdr:to>
    <xdr:sp macro="" textlink="">
      <xdr:nvSpPr>
        <xdr:cNvPr id="3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557039-B088-4408-A046-0DB1AAAC98A7}"/>
            </a:ext>
          </a:extLst>
        </xdr:cNvPr>
        <xdr:cNvSpPr/>
      </xdr:nvSpPr>
      <xdr:spPr>
        <a:xfrm>
          <a:off x="10125075" y="638175"/>
          <a:ext cx="212480" cy="197826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4.xml"/><Relationship Id="rId4" Type="http://schemas.openxmlformats.org/officeDocument/2006/relationships/ctrlProp" Target="../ctrlProps/ctrlProp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5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6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8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1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5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7CA3-4BF0-4284-BCED-0CDB8586C6ED}">
  <sheetPr codeName="Sheet2">
    <tabColor rgb="FF009900"/>
  </sheetPr>
  <dimension ref="B1:G9"/>
  <sheetViews>
    <sheetView zoomScaleNormal="100" workbookViewId="0">
      <selection activeCell="D17" sqref="D17"/>
    </sheetView>
  </sheetViews>
  <sheetFormatPr defaultRowHeight="16.8" x14ac:dyDescent="0.4"/>
  <cols>
    <col min="1" max="1" width="6.09765625" style="133" customWidth="1"/>
    <col min="2" max="5" width="27.19921875" style="133" customWidth="1"/>
    <col min="6" max="16384" width="8.796875" style="133"/>
  </cols>
  <sheetData>
    <row r="1" spans="2:7" ht="42" customHeight="1" x14ac:dyDescent="0.4">
      <c r="B1" s="75" t="s">
        <v>819</v>
      </c>
      <c r="C1" s="75"/>
      <c r="D1" s="75"/>
      <c r="E1" s="75"/>
    </row>
    <row r="2" spans="2:7" ht="27" x14ac:dyDescent="0.6">
      <c r="B2" s="137" t="s">
        <v>95</v>
      </c>
      <c r="C2" s="138" t="s">
        <v>0</v>
      </c>
      <c r="D2" s="138" t="s">
        <v>1</v>
      </c>
      <c r="E2" s="138" t="s">
        <v>57</v>
      </c>
    </row>
    <row r="3" spans="2:7" ht="27" x14ac:dyDescent="0.4">
      <c r="B3" s="138" t="s">
        <v>2</v>
      </c>
      <c r="C3" s="138" t="s">
        <v>45</v>
      </c>
      <c r="D3" s="138" t="s">
        <v>58</v>
      </c>
      <c r="E3" s="138" t="s">
        <v>46</v>
      </c>
    </row>
    <row r="4" spans="2:7" ht="27" x14ac:dyDescent="0.4">
      <c r="B4" s="138" t="s">
        <v>149</v>
      </c>
      <c r="C4" s="138" t="s">
        <v>162</v>
      </c>
      <c r="D4" s="138" t="s">
        <v>556</v>
      </c>
      <c r="E4" s="138" t="s">
        <v>800</v>
      </c>
      <c r="G4" s="139">
        <f>COUNTA(B2:E9)</f>
        <v>31</v>
      </c>
    </row>
    <row r="5" spans="2:7" ht="27" x14ac:dyDescent="0.4">
      <c r="B5" s="140" t="s">
        <v>68</v>
      </c>
      <c r="C5" s="140" t="s">
        <v>69</v>
      </c>
      <c r="D5" s="140" t="s">
        <v>70</v>
      </c>
      <c r="E5" s="138" t="s">
        <v>71</v>
      </c>
    </row>
    <row r="6" spans="2:7" ht="27" x14ac:dyDescent="0.4">
      <c r="B6" s="138" t="s">
        <v>47</v>
      </c>
      <c r="C6" s="138" t="s">
        <v>48</v>
      </c>
      <c r="D6" s="138" t="s">
        <v>72</v>
      </c>
      <c r="E6" s="138" t="s">
        <v>49</v>
      </c>
    </row>
    <row r="7" spans="2:7" ht="27" x14ac:dyDescent="0.4">
      <c r="B7" s="138" t="s">
        <v>92</v>
      </c>
      <c r="C7" s="138" t="s">
        <v>50</v>
      </c>
      <c r="D7" s="138" t="s">
        <v>51</v>
      </c>
      <c r="E7" s="138" t="s">
        <v>52</v>
      </c>
    </row>
    <row r="8" spans="2:7" ht="27" x14ac:dyDescent="0.4">
      <c r="B8" s="138" t="s">
        <v>53</v>
      </c>
      <c r="C8" s="138" t="s">
        <v>54</v>
      </c>
      <c r="D8" s="138" t="s">
        <v>55</v>
      </c>
      <c r="E8" s="138" t="s">
        <v>56</v>
      </c>
    </row>
    <row r="9" spans="2:7" ht="27" x14ac:dyDescent="0.4">
      <c r="B9" s="138" t="s">
        <v>66</v>
      </c>
      <c r="C9" s="138" t="s">
        <v>67</v>
      </c>
      <c r="D9" s="141" t="s">
        <v>96</v>
      </c>
      <c r="E9" s="141"/>
    </row>
  </sheetData>
  <mergeCells count="1"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3EB7-698D-42D2-B2BF-0803CFEB6A8A}">
  <sheetPr>
    <tabColor theme="1"/>
  </sheetPr>
  <dimension ref="A1:D7"/>
  <sheetViews>
    <sheetView zoomScale="205" zoomScaleNormal="205" workbookViewId="0">
      <selection activeCell="B11" sqref="B11"/>
    </sheetView>
  </sheetViews>
  <sheetFormatPr defaultRowHeight="16.8" x14ac:dyDescent="0.4"/>
  <cols>
    <col min="1" max="1" width="7.796875" customWidth="1"/>
    <col min="2" max="2" width="14.09765625" customWidth="1"/>
    <col min="3" max="3" width="11.796875" style="3" customWidth="1"/>
    <col min="4" max="4" width="15.8984375" customWidth="1"/>
  </cols>
  <sheetData>
    <row r="1" spans="1:4" ht="21" customHeight="1" x14ac:dyDescent="0.4">
      <c r="A1" s="28"/>
      <c r="B1" s="79" t="s">
        <v>124</v>
      </c>
      <c r="C1" s="79"/>
      <c r="D1" s="79"/>
    </row>
    <row r="2" spans="1:4" x14ac:dyDescent="0.4">
      <c r="B2" s="76" t="s">
        <v>95</v>
      </c>
      <c r="C2" s="76" t="s">
        <v>107</v>
      </c>
      <c r="D2" s="15" t="s">
        <v>108</v>
      </c>
    </row>
    <row r="3" spans="1:4" x14ac:dyDescent="0.4">
      <c r="B3" s="7" t="s">
        <v>102</v>
      </c>
      <c r="C3" s="10" t="s">
        <v>97</v>
      </c>
      <c r="D3" s="61"/>
    </row>
    <row r="4" spans="1:4" x14ac:dyDescent="0.4">
      <c r="B4" s="7" t="s">
        <v>103</v>
      </c>
      <c r="C4" s="10" t="s">
        <v>98</v>
      </c>
      <c r="D4" s="61"/>
    </row>
    <row r="5" spans="1:4" x14ac:dyDescent="0.4">
      <c r="B5" s="7" t="s">
        <v>104</v>
      </c>
      <c r="C5" s="10" t="s">
        <v>99</v>
      </c>
      <c r="D5" s="61"/>
    </row>
    <row r="6" spans="1:4" x14ac:dyDescent="0.4">
      <c r="B6" s="7" t="s">
        <v>105</v>
      </c>
      <c r="C6" s="10" t="s">
        <v>100</v>
      </c>
      <c r="D6" s="61"/>
    </row>
    <row r="7" spans="1:4" ht="17.399999999999999" x14ac:dyDescent="0.4">
      <c r="B7" s="7" t="s">
        <v>106</v>
      </c>
      <c r="C7" s="10" t="s">
        <v>101</v>
      </c>
      <c r="D7" s="61"/>
    </row>
  </sheetData>
  <mergeCells count="1">
    <mergeCell ref="B1:D1"/>
  </mergeCells>
  <pageMargins left="0.7" right="0.7" top="0.75" bottom="0.75" header="0.3" footer="0.3"/>
  <pageSetup orientation="portrait" r:id="rId1"/>
  <ignoredErrors>
    <ignoredError sqref="C7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466" r:id="rId4" name="Check Box 2">
              <controlPr defaultSize="0" autoFill="0" autoLine="0" autoPict="0">
                <anchor moveWithCells="1">
                  <from>
                    <xdr:col>3</xdr:col>
                    <xdr:colOff>7620</xdr:colOff>
                    <xdr:row>0</xdr:row>
                    <xdr:rowOff>30480</xdr:rowOff>
                  </from>
                  <to>
                    <xdr:col>3</xdr:col>
                    <xdr:colOff>312420</xdr:colOff>
                    <xdr:row>0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9082-D2B3-4F97-A390-03027F2BED72}">
  <sheetPr>
    <tabColor theme="1"/>
  </sheetPr>
  <dimension ref="B1:E3"/>
  <sheetViews>
    <sheetView zoomScale="265" zoomScaleNormal="265" workbookViewId="0">
      <selection activeCell="D5" sqref="D5"/>
    </sheetView>
  </sheetViews>
  <sheetFormatPr defaultRowHeight="16.8" x14ac:dyDescent="0.4"/>
  <cols>
    <col min="1" max="1" width="2.09765625" style="133" customWidth="1"/>
    <col min="2" max="2" width="7.69921875" style="133" customWidth="1"/>
    <col min="3" max="4" width="8.3984375" style="133" customWidth="1"/>
    <col min="5" max="5" width="12" style="133" customWidth="1"/>
    <col min="6" max="16384" width="8.796875" style="133"/>
  </cols>
  <sheetData>
    <row r="1" spans="2:5" ht="21.75" customHeight="1" x14ac:dyDescent="0.4">
      <c r="B1" s="143" t="s">
        <v>3</v>
      </c>
      <c r="C1" s="143"/>
      <c r="D1" s="143"/>
      <c r="E1" s="143"/>
    </row>
    <row r="2" spans="2:5" x14ac:dyDescent="0.4">
      <c r="B2" s="77" t="s">
        <v>5</v>
      </c>
      <c r="C2" s="77" t="s">
        <v>6</v>
      </c>
      <c r="D2" s="77" t="s">
        <v>7</v>
      </c>
      <c r="E2" s="6" t="s">
        <v>11</v>
      </c>
    </row>
    <row r="3" spans="2:5" x14ac:dyDescent="0.4">
      <c r="B3" s="135" t="s">
        <v>9</v>
      </c>
      <c r="C3" s="134">
        <v>2000</v>
      </c>
      <c r="D3" s="134">
        <v>20</v>
      </c>
      <c r="E3" s="134"/>
    </row>
  </sheetData>
  <mergeCells count="1">
    <mergeCell ref="B1:E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419100</xdr:colOff>
                    <xdr:row>0</xdr:row>
                    <xdr:rowOff>30480</xdr:rowOff>
                  </from>
                  <to>
                    <xdr:col>4</xdr:col>
                    <xdr:colOff>723900</xdr:colOff>
                    <xdr:row>0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BF9F-BEE5-4D7F-827F-2EDB6C341D9C}">
  <sheetPr>
    <tabColor theme="0"/>
  </sheetPr>
  <dimension ref="B1:J11"/>
  <sheetViews>
    <sheetView zoomScale="145" zoomScaleNormal="145" workbookViewId="0">
      <selection activeCell="H11" sqref="H11"/>
    </sheetView>
  </sheetViews>
  <sheetFormatPr defaultRowHeight="16.8" x14ac:dyDescent="0.4"/>
  <cols>
    <col min="1" max="1" width="2" style="133" customWidth="1"/>
    <col min="2" max="2" width="12.19921875" style="133" customWidth="1"/>
    <col min="3" max="7" width="8.796875" style="133"/>
    <col min="8" max="8" width="12.59765625" style="133" customWidth="1"/>
    <col min="9" max="9" width="1.8984375" style="133" customWidth="1"/>
    <col min="10" max="10" width="16.69921875" style="133" bestFit="1" customWidth="1"/>
    <col min="11" max="16384" width="8.796875" style="133"/>
  </cols>
  <sheetData>
    <row r="1" spans="2:10" ht="19.5" customHeight="1" x14ac:dyDescent="0.4">
      <c r="B1" s="132" t="s">
        <v>125</v>
      </c>
      <c r="C1" s="132"/>
      <c r="D1" s="132"/>
      <c r="E1" s="132"/>
      <c r="F1" s="132"/>
      <c r="G1" s="132"/>
      <c r="H1" s="132"/>
    </row>
    <row r="2" spans="2:10" x14ac:dyDescent="0.4">
      <c r="B2" s="77" t="s">
        <v>5</v>
      </c>
      <c r="C2" s="77" t="s">
        <v>6</v>
      </c>
      <c r="D2" s="77" t="s">
        <v>7</v>
      </c>
      <c r="E2" s="77" t="s">
        <v>8</v>
      </c>
      <c r="F2" s="77" t="s">
        <v>113</v>
      </c>
      <c r="G2" s="77" t="s">
        <v>114</v>
      </c>
      <c r="H2" s="134" t="s">
        <v>115</v>
      </c>
      <c r="J2" s="134" t="s">
        <v>559</v>
      </c>
    </row>
    <row r="3" spans="2:10" x14ac:dyDescent="0.4">
      <c r="B3" s="135" t="s">
        <v>109</v>
      </c>
      <c r="C3" s="134">
        <v>72</v>
      </c>
      <c r="D3" s="134">
        <v>10</v>
      </c>
      <c r="E3" s="134">
        <v>22</v>
      </c>
      <c r="F3" s="134">
        <v>94</v>
      </c>
      <c r="G3" s="134">
        <v>50</v>
      </c>
      <c r="H3" s="136"/>
      <c r="J3" s="134"/>
    </row>
    <row r="4" spans="2:10" x14ac:dyDescent="0.4">
      <c r="B4" s="135" t="s">
        <v>117</v>
      </c>
      <c r="C4" s="134">
        <v>9</v>
      </c>
      <c r="D4" s="134">
        <v>10</v>
      </c>
      <c r="E4" s="134">
        <v>54</v>
      </c>
      <c r="F4" s="134">
        <v>64</v>
      </c>
      <c r="G4" s="134">
        <v>68</v>
      </c>
      <c r="H4" s="136"/>
    </row>
    <row r="5" spans="2:10" x14ac:dyDescent="0.4">
      <c r="B5" s="135" t="s">
        <v>116</v>
      </c>
      <c r="C5" s="134">
        <v>56</v>
      </c>
      <c r="D5" s="134">
        <v>84</v>
      </c>
      <c r="E5" s="134">
        <v>44</v>
      </c>
      <c r="F5" s="134">
        <v>7</v>
      </c>
      <c r="G5" s="134">
        <v>37</v>
      </c>
      <c r="H5" s="136"/>
    </row>
    <row r="6" spans="2:10" x14ac:dyDescent="0.4">
      <c r="B6" s="135" t="s">
        <v>73</v>
      </c>
      <c r="C6" s="134">
        <v>85</v>
      </c>
      <c r="D6" s="134">
        <v>22</v>
      </c>
      <c r="E6" s="134">
        <v>15</v>
      </c>
      <c r="F6" s="134">
        <v>75</v>
      </c>
      <c r="G6" s="134">
        <v>15</v>
      </c>
      <c r="H6" s="136"/>
    </row>
    <row r="7" spans="2:10" x14ac:dyDescent="0.4">
      <c r="B7" s="135" t="s">
        <v>9</v>
      </c>
      <c r="C7" s="134">
        <v>42</v>
      </c>
      <c r="D7" s="134">
        <v>57</v>
      </c>
      <c r="E7" s="134">
        <v>14</v>
      </c>
      <c r="F7" s="134">
        <v>27</v>
      </c>
      <c r="G7" s="134">
        <v>1</v>
      </c>
      <c r="H7" s="136"/>
    </row>
    <row r="8" spans="2:10" x14ac:dyDescent="0.4">
      <c r="B8" s="135" t="s">
        <v>111</v>
      </c>
      <c r="C8" s="134">
        <v>9</v>
      </c>
      <c r="D8" s="134">
        <v>7</v>
      </c>
      <c r="E8" s="134">
        <v>65</v>
      </c>
      <c r="F8" s="134">
        <v>37</v>
      </c>
      <c r="G8" s="134">
        <v>84</v>
      </c>
      <c r="H8" s="136"/>
    </row>
    <row r="9" spans="2:10" x14ac:dyDescent="0.4">
      <c r="B9" s="135" t="s">
        <v>112</v>
      </c>
      <c r="C9" s="134">
        <v>48</v>
      </c>
      <c r="D9" s="134">
        <v>32</v>
      </c>
      <c r="E9" s="134">
        <v>33</v>
      </c>
      <c r="F9" s="134">
        <v>75</v>
      </c>
      <c r="G9" s="134">
        <v>42</v>
      </c>
      <c r="H9" s="136"/>
    </row>
    <row r="10" spans="2:10" x14ac:dyDescent="0.4">
      <c r="B10" s="135" t="s">
        <v>91</v>
      </c>
      <c r="C10" s="134">
        <v>70</v>
      </c>
      <c r="D10" s="134">
        <v>86</v>
      </c>
      <c r="E10" s="134">
        <v>37</v>
      </c>
      <c r="F10" s="134">
        <v>62</v>
      </c>
      <c r="G10" s="134">
        <v>77</v>
      </c>
      <c r="H10" s="136"/>
    </row>
    <row r="11" spans="2:10" x14ac:dyDescent="0.4">
      <c r="B11" s="135" t="s">
        <v>110</v>
      </c>
      <c r="C11" s="134">
        <v>57</v>
      </c>
      <c r="D11" s="134">
        <v>18</v>
      </c>
      <c r="E11" s="134">
        <v>10</v>
      </c>
      <c r="F11" s="134">
        <v>59</v>
      </c>
      <c r="G11" s="134">
        <v>35</v>
      </c>
      <c r="H11" s="136"/>
    </row>
  </sheetData>
  <sortState xmlns:xlrd2="http://schemas.microsoft.com/office/spreadsheetml/2017/richdata2" ref="B4:B11">
    <sortCondition ref="B3:B11"/>
  </sortState>
  <mergeCells count="1">
    <mergeCell ref="B1:H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489" r:id="rId3" name="Check Box 1">
              <controlPr defaultSize="0" autoFill="0" autoLine="0" autoPict="0">
                <anchor moveWithCells="1">
                  <from>
                    <xdr:col>5</xdr:col>
                    <xdr:colOff>419100</xdr:colOff>
                    <xdr:row>0</xdr:row>
                    <xdr:rowOff>22860</xdr:rowOff>
                  </from>
                  <to>
                    <xdr:col>5</xdr:col>
                    <xdr:colOff>723900</xdr:colOff>
                    <xdr:row>0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BA29-617F-4D40-BDBB-26B49D3F01B3}">
  <sheetPr>
    <tabColor theme="1"/>
  </sheetPr>
  <dimension ref="B1:F8"/>
  <sheetViews>
    <sheetView zoomScale="190" zoomScaleNormal="190" workbookViewId="0">
      <selection activeCell="B1" sqref="B1:F1"/>
    </sheetView>
  </sheetViews>
  <sheetFormatPr defaultRowHeight="16.8" x14ac:dyDescent="0.4"/>
  <cols>
    <col min="1" max="1" width="2.19921875" customWidth="1"/>
    <col min="2" max="2" width="9.296875" customWidth="1"/>
    <col min="3" max="3" width="10.296875" customWidth="1"/>
    <col min="4" max="4" width="9.3984375" customWidth="1"/>
    <col min="5" max="5" width="3.59765625" customWidth="1"/>
    <col min="6" max="6" width="26.796875" customWidth="1"/>
  </cols>
  <sheetData>
    <row r="1" spans="2:6" ht="26.25" customHeight="1" x14ac:dyDescent="0.4">
      <c r="B1" s="142" t="s">
        <v>560</v>
      </c>
      <c r="C1" s="142"/>
      <c r="D1" s="142"/>
      <c r="E1" s="142"/>
      <c r="F1" s="142"/>
    </row>
    <row r="2" spans="2:6" x14ac:dyDescent="0.4">
      <c r="B2" s="77" t="s">
        <v>5</v>
      </c>
      <c r="C2" s="77" t="s">
        <v>118</v>
      </c>
      <c r="D2" s="77" t="s">
        <v>13</v>
      </c>
      <c r="F2" s="6" t="s">
        <v>801</v>
      </c>
    </row>
    <row r="3" spans="2:6" x14ac:dyDescent="0.4">
      <c r="B3" s="7" t="s">
        <v>122</v>
      </c>
      <c r="C3" s="8" t="s">
        <v>17</v>
      </c>
      <c r="D3" s="8">
        <v>100</v>
      </c>
      <c r="F3" s="72"/>
    </row>
    <row r="4" spans="2:6" x14ac:dyDescent="0.4">
      <c r="B4" s="7" t="s">
        <v>122</v>
      </c>
      <c r="C4" s="8" t="s">
        <v>18</v>
      </c>
      <c r="D4" s="8">
        <v>50</v>
      </c>
    </row>
    <row r="5" spans="2:6" x14ac:dyDescent="0.4">
      <c r="B5" s="7" t="s">
        <v>121</v>
      </c>
      <c r="C5" s="8" t="s">
        <v>17</v>
      </c>
      <c r="D5" s="8">
        <v>90</v>
      </c>
    </row>
    <row r="6" spans="2:6" x14ac:dyDescent="0.4">
      <c r="B6" s="7" t="s">
        <v>120</v>
      </c>
      <c r="C6" s="8" t="s">
        <v>18</v>
      </c>
      <c r="D6" s="8">
        <v>85</v>
      </c>
    </row>
    <row r="7" spans="2:6" x14ac:dyDescent="0.4">
      <c r="B7" s="7" t="s">
        <v>123</v>
      </c>
      <c r="C7" s="8" t="s">
        <v>18</v>
      </c>
      <c r="D7" s="8">
        <v>50</v>
      </c>
    </row>
    <row r="8" spans="2:6" x14ac:dyDescent="0.4">
      <c r="B8" s="7" t="s">
        <v>119</v>
      </c>
      <c r="C8" s="8" t="s">
        <v>17</v>
      </c>
      <c r="D8" s="8">
        <v>75</v>
      </c>
    </row>
  </sheetData>
  <sortState xmlns:xlrd2="http://schemas.microsoft.com/office/spreadsheetml/2017/richdata2" ref="B3:D8">
    <sortCondition ref="B3:B8"/>
  </sortState>
  <mergeCells count="1">
    <mergeCell ref="B1:F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 altText="">
                <anchor moveWithCells="1">
                  <from>
                    <xdr:col>5</xdr:col>
                    <xdr:colOff>1074420</xdr:colOff>
                    <xdr:row>0</xdr:row>
                    <xdr:rowOff>68580</xdr:rowOff>
                  </from>
                  <to>
                    <xdr:col>5</xdr:col>
                    <xdr:colOff>1295400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BF57-2291-4035-9902-10B9D533C934}">
  <sheetPr>
    <tabColor theme="0"/>
  </sheetPr>
  <dimension ref="B1:I94"/>
  <sheetViews>
    <sheetView zoomScaleNormal="100" workbookViewId="0">
      <selection activeCell="G10" sqref="G10"/>
    </sheetView>
  </sheetViews>
  <sheetFormatPr defaultRowHeight="16.8" x14ac:dyDescent="0.4"/>
  <cols>
    <col min="2" max="2" width="11.3984375" style="4" customWidth="1"/>
    <col min="3" max="3" width="13.69921875" customWidth="1"/>
    <col min="4" max="4" width="11.59765625" style="4" customWidth="1"/>
    <col min="5" max="5" width="16.19921875" customWidth="1"/>
    <col min="6" max="6" width="2.59765625" customWidth="1"/>
    <col min="7" max="7" width="32.3984375" bestFit="1" customWidth="1"/>
    <col min="8" max="8" width="11" customWidth="1"/>
    <col min="9" max="9" width="12" customWidth="1"/>
  </cols>
  <sheetData>
    <row r="1" spans="2:9" s="60" customFormat="1" ht="24.75" customHeight="1" x14ac:dyDescent="0.4">
      <c r="B1" s="131" t="s">
        <v>561</v>
      </c>
      <c r="C1" s="131"/>
      <c r="D1" s="131"/>
      <c r="E1" s="131"/>
    </row>
    <row r="2" spans="2:9" x14ac:dyDescent="0.4">
      <c r="B2" s="77" t="s">
        <v>208</v>
      </c>
      <c r="C2" s="77" t="s">
        <v>209</v>
      </c>
      <c r="D2" s="77" t="s">
        <v>210</v>
      </c>
      <c r="E2" s="77" t="s">
        <v>211</v>
      </c>
    </row>
    <row r="3" spans="2:9" x14ac:dyDescent="0.4">
      <c r="B3" s="31">
        <v>45139</v>
      </c>
      <c r="C3" s="7" t="s">
        <v>120</v>
      </c>
      <c r="D3" s="8">
        <v>25</v>
      </c>
      <c r="E3" s="30">
        <v>12500</v>
      </c>
      <c r="G3" s="6" t="s">
        <v>802</v>
      </c>
    </row>
    <row r="4" spans="2:9" x14ac:dyDescent="0.4">
      <c r="B4" s="31">
        <v>45140</v>
      </c>
      <c r="C4" s="7" t="s">
        <v>193</v>
      </c>
      <c r="D4" s="8">
        <v>15</v>
      </c>
      <c r="E4" s="30">
        <v>15000</v>
      </c>
      <c r="G4" s="8"/>
    </row>
    <row r="5" spans="2:9" x14ac:dyDescent="0.4">
      <c r="B5" s="31">
        <v>45141</v>
      </c>
      <c r="C5" s="7" t="s">
        <v>119</v>
      </c>
      <c r="D5" s="8">
        <v>30</v>
      </c>
      <c r="E5" s="30">
        <v>9000</v>
      </c>
    </row>
    <row r="6" spans="2:9" x14ac:dyDescent="0.4">
      <c r="B6" s="31">
        <v>45142</v>
      </c>
      <c r="C6" s="7" t="s">
        <v>194</v>
      </c>
      <c r="D6" s="8">
        <v>20</v>
      </c>
      <c r="E6" s="30">
        <v>10000</v>
      </c>
      <c r="G6" s="6" t="s">
        <v>212</v>
      </c>
      <c r="H6" s="4" t="s">
        <v>119</v>
      </c>
      <c r="I6" s="7" t="s">
        <v>120</v>
      </c>
    </row>
    <row r="7" spans="2:9" x14ac:dyDescent="0.4">
      <c r="B7" s="31">
        <v>45143</v>
      </c>
      <c r="C7" s="7" t="s">
        <v>122</v>
      </c>
      <c r="D7" s="8">
        <v>18</v>
      </c>
      <c r="E7" s="30">
        <v>9000</v>
      </c>
      <c r="G7" s="73"/>
      <c r="I7" s="7" t="s">
        <v>193</v>
      </c>
    </row>
    <row r="8" spans="2:9" x14ac:dyDescent="0.4">
      <c r="B8" s="31">
        <v>45144</v>
      </c>
      <c r="C8" s="7" t="s">
        <v>195</v>
      </c>
      <c r="D8" s="8">
        <v>22</v>
      </c>
      <c r="E8" s="30">
        <v>11000</v>
      </c>
      <c r="I8" s="7" t="s">
        <v>119</v>
      </c>
    </row>
    <row r="9" spans="2:9" x14ac:dyDescent="0.4">
      <c r="B9" s="31">
        <v>45145</v>
      </c>
      <c r="C9" s="7" t="s">
        <v>196</v>
      </c>
      <c r="D9" s="8">
        <v>28</v>
      </c>
      <c r="E9" s="30">
        <v>14000</v>
      </c>
      <c r="I9" s="7" t="s">
        <v>194</v>
      </c>
    </row>
    <row r="10" spans="2:9" x14ac:dyDescent="0.4">
      <c r="B10" s="31">
        <v>45146</v>
      </c>
      <c r="C10" s="7" t="s">
        <v>197</v>
      </c>
      <c r="D10" s="8">
        <v>10</v>
      </c>
      <c r="E10" s="30">
        <v>5000</v>
      </c>
      <c r="I10" s="7" t="s">
        <v>122</v>
      </c>
    </row>
    <row r="11" spans="2:9" x14ac:dyDescent="0.4">
      <c r="B11" s="31">
        <v>45147</v>
      </c>
      <c r="C11" s="7" t="s">
        <v>198</v>
      </c>
      <c r="D11" s="8">
        <v>12</v>
      </c>
      <c r="E11" s="30">
        <v>6000</v>
      </c>
      <c r="I11" s="7" t="s">
        <v>195</v>
      </c>
    </row>
    <row r="12" spans="2:9" x14ac:dyDescent="0.4">
      <c r="B12" s="31">
        <v>45148</v>
      </c>
      <c r="C12" s="7" t="s">
        <v>199</v>
      </c>
      <c r="D12" s="8">
        <v>35</v>
      </c>
      <c r="E12" s="30">
        <v>17500</v>
      </c>
      <c r="I12" s="7" t="s">
        <v>196</v>
      </c>
    </row>
    <row r="13" spans="2:9" x14ac:dyDescent="0.4">
      <c r="B13" s="31">
        <v>45149</v>
      </c>
      <c r="C13" s="7" t="s">
        <v>200</v>
      </c>
      <c r="D13" s="8">
        <v>24</v>
      </c>
      <c r="E13" s="30">
        <v>12000</v>
      </c>
      <c r="I13" s="7" t="s">
        <v>197</v>
      </c>
    </row>
    <row r="14" spans="2:9" x14ac:dyDescent="0.4">
      <c r="B14" s="31">
        <v>45150</v>
      </c>
      <c r="C14" s="7" t="s">
        <v>123</v>
      </c>
      <c r="D14" s="8">
        <v>18</v>
      </c>
      <c r="E14" s="30">
        <v>9000</v>
      </c>
      <c r="I14" s="7" t="s">
        <v>198</v>
      </c>
    </row>
    <row r="15" spans="2:9" x14ac:dyDescent="0.4">
      <c r="B15" s="31">
        <v>45151</v>
      </c>
      <c r="C15" s="7" t="s">
        <v>201</v>
      </c>
      <c r="D15" s="8">
        <v>26</v>
      </c>
      <c r="E15" s="30">
        <v>13000</v>
      </c>
      <c r="I15" s="7" t="s">
        <v>199</v>
      </c>
    </row>
    <row r="16" spans="2:9" x14ac:dyDescent="0.4">
      <c r="B16" s="31">
        <v>45152</v>
      </c>
      <c r="C16" s="7" t="s">
        <v>202</v>
      </c>
      <c r="D16" s="8">
        <v>16</v>
      </c>
      <c r="E16" s="30">
        <v>8000</v>
      </c>
      <c r="I16" s="7" t="s">
        <v>200</v>
      </c>
    </row>
    <row r="17" spans="2:9" x14ac:dyDescent="0.4">
      <c r="B17" s="31">
        <v>45153</v>
      </c>
      <c r="C17" s="7" t="s">
        <v>203</v>
      </c>
      <c r="D17" s="8">
        <v>31</v>
      </c>
      <c r="E17" s="30">
        <v>15500</v>
      </c>
      <c r="I17" s="7" t="s">
        <v>123</v>
      </c>
    </row>
    <row r="18" spans="2:9" x14ac:dyDescent="0.4">
      <c r="B18" s="31">
        <v>45154</v>
      </c>
      <c r="C18" s="7" t="s">
        <v>204</v>
      </c>
      <c r="D18" s="8">
        <v>21</v>
      </c>
      <c r="E18" s="30">
        <v>10500</v>
      </c>
      <c r="I18" s="7" t="s">
        <v>201</v>
      </c>
    </row>
    <row r="19" spans="2:9" x14ac:dyDescent="0.4">
      <c r="B19" s="31">
        <v>45155</v>
      </c>
      <c r="C19" s="7" t="s">
        <v>205</v>
      </c>
      <c r="D19" s="8">
        <v>14</v>
      </c>
      <c r="E19" s="30">
        <v>7000</v>
      </c>
      <c r="I19" s="7" t="s">
        <v>202</v>
      </c>
    </row>
    <row r="20" spans="2:9" x14ac:dyDescent="0.4">
      <c r="B20" s="31">
        <v>45156</v>
      </c>
      <c r="C20" s="7" t="s">
        <v>206</v>
      </c>
      <c r="D20" s="8">
        <v>19</v>
      </c>
      <c r="E20" s="30">
        <v>9500</v>
      </c>
      <c r="I20" s="7" t="s">
        <v>203</v>
      </c>
    </row>
    <row r="21" spans="2:9" x14ac:dyDescent="0.4">
      <c r="B21" s="31">
        <v>45157</v>
      </c>
      <c r="C21" s="7" t="s">
        <v>207</v>
      </c>
      <c r="D21" s="8">
        <v>27</v>
      </c>
      <c r="E21" s="30">
        <v>13500</v>
      </c>
      <c r="I21" s="7" t="s">
        <v>204</v>
      </c>
    </row>
    <row r="22" spans="2:9" x14ac:dyDescent="0.4">
      <c r="B22" s="31">
        <v>45158</v>
      </c>
      <c r="C22" s="7" t="s">
        <v>204</v>
      </c>
      <c r="D22" s="8">
        <v>23</v>
      </c>
      <c r="E22" s="30">
        <v>11500</v>
      </c>
      <c r="I22" s="7" t="s">
        <v>205</v>
      </c>
    </row>
    <row r="23" spans="2:9" x14ac:dyDescent="0.4">
      <c r="B23" s="31">
        <v>45159</v>
      </c>
      <c r="C23" s="7" t="s">
        <v>122</v>
      </c>
      <c r="D23" s="8">
        <v>17</v>
      </c>
      <c r="E23" s="30">
        <v>8500</v>
      </c>
      <c r="I23" s="7" t="s">
        <v>206</v>
      </c>
    </row>
    <row r="24" spans="2:9" x14ac:dyDescent="0.4">
      <c r="B24" s="31">
        <v>45160</v>
      </c>
      <c r="C24" s="7" t="s">
        <v>197</v>
      </c>
      <c r="D24" s="8">
        <v>29</v>
      </c>
      <c r="E24" s="30">
        <v>14500</v>
      </c>
      <c r="I24" s="7" t="s">
        <v>207</v>
      </c>
    </row>
    <row r="25" spans="2:9" x14ac:dyDescent="0.4">
      <c r="B25" s="31">
        <v>45161</v>
      </c>
      <c r="C25" s="7" t="s">
        <v>196</v>
      </c>
      <c r="D25" s="8">
        <v>13</v>
      </c>
      <c r="E25" s="30">
        <v>6500</v>
      </c>
    </row>
    <row r="26" spans="2:9" x14ac:dyDescent="0.4">
      <c r="B26" s="31">
        <v>45162</v>
      </c>
      <c r="C26" s="7" t="s">
        <v>119</v>
      </c>
      <c r="D26" s="8">
        <v>9</v>
      </c>
      <c r="E26" s="30">
        <v>4500</v>
      </c>
    </row>
    <row r="27" spans="2:9" x14ac:dyDescent="0.4">
      <c r="B27" s="31">
        <v>45163</v>
      </c>
      <c r="C27" s="7" t="s">
        <v>120</v>
      </c>
      <c r="D27" s="8">
        <v>32</v>
      </c>
      <c r="E27" s="30">
        <v>16000</v>
      </c>
    </row>
    <row r="28" spans="2:9" x14ac:dyDescent="0.4">
      <c r="B28" s="31">
        <v>45164</v>
      </c>
      <c r="C28" s="7" t="s">
        <v>199</v>
      </c>
      <c r="D28" s="8">
        <v>11</v>
      </c>
      <c r="E28" s="30">
        <v>5500</v>
      </c>
    </row>
    <row r="29" spans="2:9" x14ac:dyDescent="0.4">
      <c r="B29" s="31">
        <v>45165</v>
      </c>
      <c r="C29" s="7" t="s">
        <v>193</v>
      </c>
      <c r="D29" s="8">
        <v>20</v>
      </c>
      <c r="E29" s="30">
        <v>10000</v>
      </c>
    </row>
    <row r="30" spans="2:9" x14ac:dyDescent="0.4">
      <c r="B30" s="31">
        <v>45166</v>
      </c>
      <c r="C30" s="7" t="s">
        <v>194</v>
      </c>
      <c r="D30" s="8">
        <v>25</v>
      </c>
      <c r="E30" s="30">
        <v>12500</v>
      </c>
    </row>
    <row r="31" spans="2:9" x14ac:dyDescent="0.4">
      <c r="B31" s="31">
        <v>45167</v>
      </c>
      <c r="C31" s="7" t="s">
        <v>123</v>
      </c>
      <c r="D31" s="8">
        <v>15</v>
      </c>
      <c r="E31" s="30">
        <v>7500</v>
      </c>
    </row>
    <row r="32" spans="2:9" x14ac:dyDescent="0.4">
      <c r="B32" s="31">
        <v>45168</v>
      </c>
      <c r="C32" s="7" t="s">
        <v>201</v>
      </c>
      <c r="D32" s="8">
        <v>30</v>
      </c>
      <c r="E32" s="30">
        <v>15000</v>
      </c>
    </row>
    <row r="33" spans="2:5" x14ac:dyDescent="0.4">
      <c r="B33" s="31">
        <v>45169</v>
      </c>
      <c r="C33" s="7" t="s">
        <v>195</v>
      </c>
      <c r="D33" s="8">
        <v>18</v>
      </c>
      <c r="E33" s="30">
        <v>9000</v>
      </c>
    </row>
    <row r="34" spans="2:5" x14ac:dyDescent="0.4">
      <c r="B34" s="31">
        <v>45170</v>
      </c>
      <c r="C34" s="7" t="s">
        <v>198</v>
      </c>
      <c r="D34" s="8">
        <v>22</v>
      </c>
      <c r="E34" s="30">
        <v>11000</v>
      </c>
    </row>
    <row r="35" spans="2:5" x14ac:dyDescent="0.4">
      <c r="B35" s="31">
        <v>45171</v>
      </c>
      <c r="C35" s="7" t="s">
        <v>200</v>
      </c>
      <c r="D35" s="8">
        <v>28</v>
      </c>
      <c r="E35" s="30">
        <v>14000</v>
      </c>
    </row>
    <row r="36" spans="2:5" x14ac:dyDescent="0.4">
      <c r="B36" s="31">
        <v>45172</v>
      </c>
      <c r="C36" s="7" t="s">
        <v>202</v>
      </c>
      <c r="D36" s="8">
        <v>10</v>
      </c>
      <c r="E36" s="30">
        <v>5000</v>
      </c>
    </row>
    <row r="37" spans="2:5" x14ac:dyDescent="0.4">
      <c r="B37" s="31">
        <v>45173</v>
      </c>
      <c r="C37" s="7" t="s">
        <v>203</v>
      </c>
      <c r="D37" s="8">
        <v>12</v>
      </c>
      <c r="E37" s="30">
        <v>6000</v>
      </c>
    </row>
    <row r="38" spans="2:5" x14ac:dyDescent="0.4">
      <c r="B38" s="31">
        <v>45174</v>
      </c>
      <c r="C38" s="7" t="s">
        <v>206</v>
      </c>
      <c r="D38" s="8">
        <v>35</v>
      </c>
      <c r="E38" s="30">
        <v>17500</v>
      </c>
    </row>
    <row r="39" spans="2:5" x14ac:dyDescent="0.4">
      <c r="B39" s="31">
        <v>45175</v>
      </c>
      <c r="C39" s="7" t="s">
        <v>205</v>
      </c>
      <c r="D39" s="8">
        <v>24</v>
      </c>
      <c r="E39" s="30">
        <v>12000</v>
      </c>
    </row>
    <row r="40" spans="2:5" x14ac:dyDescent="0.4">
      <c r="B40" s="31">
        <v>45176</v>
      </c>
      <c r="C40" s="7" t="s">
        <v>204</v>
      </c>
      <c r="D40" s="8">
        <v>18</v>
      </c>
      <c r="E40" s="30">
        <v>9000</v>
      </c>
    </row>
    <row r="41" spans="2:5" x14ac:dyDescent="0.4">
      <c r="B41" s="31">
        <v>45177</v>
      </c>
      <c r="C41" s="7" t="s">
        <v>122</v>
      </c>
      <c r="D41" s="8">
        <v>26</v>
      </c>
      <c r="E41" s="30">
        <v>13000</v>
      </c>
    </row>
    <row r="42" spans="2:5" x14ac:dyDescent="0.4">
      <c r="B42" s="31">
        <v>45178</v>
      </c>
      <c r="C42" s="7" t="s">
        <v>197</v>
      </c>
      <c r="D42" s="8">
        <v>16</v>
      </c>
      <c r="E42" s="30">
        <v>8000</v>
      </c>
    </row>
    <row r="43" spans="2:5" x14ac:dyDescent="0.4">
      <c r="B43" s="31">
        <v>45179</v>
      </c>
      <c r="C43" s="7" t="s">
        <v>119</v>
      </c>
      <c r="D43" s="8">
        <v>31</v>
      </c>
      <c r="E43" s="30">
        <v>15500</v>
      </c>
    </row>
    <row r="44" spans="2:5" x14ac:dyDescent="0.4">
      <c r="B44" s="31">
        <v>45180</v>
      </c>
      <c r="C44" s="7" t="s">
        <v>193</v>
      </c>
      <c r="D44" s="8">
        <v>21</v>
      </c>
      <c r="E44" s="30">
        <v>10500</v>
      </c>
    </row>
    <row r="45" spans="2:5" x14ac:dyDescent="0.4">
      <c r="B45" s="31">
        <v>45181</v>
      </c>
      <c r="C45" s="7" t="s">
        <v>123</v>
      </c>
      <c r="D45" s="8">
        <v>14</v>
      </c>
      <c r="E45" s="30">
        <v>7000</v>
      </c>
    </row>
    <row r="46" spans="2:5" x14ac:dyDescent="0.4">
      <c r="B46" s="31">
        <v>45182</v>
      </c>
      <c r="C46" s="7" t="s">
        <v>196</v>
      </c>
      <c r="D46" s="8">
        <v>19</v>
      </c>
      <c r="E46" s="30">
        <v>9500</v>
      </c>
    </row>
    <row r="47" spans="2:5" x14ac:dyDescent="0.4">
      <c r="B47" s="31">
        <v>45183</v>
      </c>
      <c r="C47" s="7" t="s">
        <v>120</v>
      </c>
      <c r="D47" s="8">
        <v>27</v>
      </c>
      <c r="E47" s="30">
        <v>13500</v>
      </c>
    </row>
    <row r="48" spans="2:5" x14ac:dyDescent="0.4">
      <c r="B48" s="31">
        <v>45184</v>
      </c>
      <c r="C48" s="7" t="s">
        <v>199</v>
      </c>
      <c r="D48" s="8">
        <v>23</v>
      </c>
      <c r="E48" s="30">
        <v>11500</v>
      </c>
    </row>
    <row r="49" spans="2:5" x14ac:dyDescent="0.4">
      <c r="B49" s="31">
        <v>45185</v>
      </c>
      <c r="C49" s="7" t="s">
        <v>194</v>
      </c>
      <c r="D49" s="8">
        <v>17</v>
      </c>
      <c r="E49" s="30">
        <v>8500</v>
      </c>
    </row>
    <row r="50" spans="2:5" x14ac:dyDescent="0.4">
      <c r="B50" s="31">
        <v>45186</v>
      </c>
      <c r="C50" s="7" t="s">
        <v>201</v>
      </c>
      <c r="D50" s="8">
        <v>29</v>
      </c>
      <c r="E50" s="30">
        <v>14500</v>
      </c>
    </row>
    <row r="51" spans="2:5" x14ac:dyDescent="0.4">
      <c r="B51" s="31">
        <v>45187</v>
      </c>
      <c r="C51" s="7" t="s">
        <v>195</v>
      </c>
      <c r="D51" s="8">
        <v>13</v>
      </c>
      <c r="E51" s="30">
        <v>6500</v>
      </c>
    </row>
    <row r="52" spans="2:5" x14ac:dyDescent="0.4">
      <c r="B52" s="31">
        <v>45188</v>
      </c>
      <c r="C52" s="7" t="s">
        <v>198</v>
      </c>
      <c r="D52" s="8">
        <v>9</v>
      </c>
      <c r="E52" s="30">
        <v>4500</v>
      </c>
    </row>
    <row r="53" spans="2:5" x14ac:dyDescent="0.4">
      <c r="B53" s="31">
        <v>45189</v>
      </c>
      <c r="C53" s="7" t="s">
        <v>204</v>
      </c>
      <c r="D53" s="8">
        <v>32</v>
      </c>
      <c r="E53" s="30">
        <v>16000</v>
      </c>
    </row>
    <row r="54" spans="2:5" x14ac:dyDescent="0.4">
      <c r="B54" s="31">
        <v>45190</v>
      </c>
      <c r="C54" s="7" t="s">
        <v>119</v>
      </c>
      <c r="D54" s="8">
        <v>11</v>
      </c>
      <c r="E54" s="30">
        <v>5500</v>
      </c>
    </row>
    <row r="55" spans="2:5" x14ac:dyDescent="0.4">
      <c r="B55" s="31">
        <v>45191</v>
      </c>
      <c r="C55" s="7" t="s">
        <v>122</v>
      </c>
      <c r="D55" s="8">
        <v>20</v>
      </c>
      <c r="E55" s="30">
        <v>10000</v>
      </c>
    </row>
    <row r="56" spans="2:5" x14ac:dyDescent="0.4">
      <c r="B56" s="31">
        <v>45192</v>
      </c>
      <c r="C56" s="7" t="s">
        <v>197</v>
      </c>
      <c r="D56" s="8">
        <v>25</v>
      </c>
      <c r="E56" s="30">
        <v>12500</v>
      </c>
    </row>
    <row r="57" spans="2:5" x14ac:dyDescent="0.4">
      <c r="B57" s="31">
        <v>45193</v>
      </c>
      <c r="C57" s="7" t="s">
        <v>123</v>
      </c>
      <c r="D57" s="8">
        <v>15</v>
      </c>
      <c r="E57" s="30">
        <v>7500</v>
      </c>
    </row>
    <row r="58" spans="2:5" x14ac:dyDescent="0.4">
      <c r="B58" s="31">
        <v>45194</v>
      </c>
      <c r="C58" s="7" t="s">
        <v>201</v>
      </c>
      <c r="D58" s="8">
        <v>30</v>
      </c>
      <c r="E58" s="30">
        <v>15000</v>
      </c>
    </row>
    <row r="59" spans="2:5" x14ac:dyDescent="0.4">
      <c r="B59" s="31">
        <v>45195</v>
      </c>
      <c r="C59" s="7" t="s">
        <v>195</v>
      </c>
      <c r="D59" s="8">
        <v>18</v>
      </c>
      <c r="E59" s="30">
        <v>9000</v>
      </c>
    </row>
    <row r="60" spans="2:5" x14ac:dyDescent="0.4">
      <c r="B60" s="31">
        <v>45196</v>
      </c>
      <c r="C60" s="7" t="s">
        <v>200</v>
      </c>
      <c r="D60" s="8">
        <v>22</v>
      </c>
      <c r="E60" s="30">
        <v>11000</v>
      </c>
    </row>
    <row r="61" spans="2:5" x14ac:dyDescent="0.4">
      <c r="B61" s="31">
        <v>45197</v>
      </c>
      <c r="C61" s="7" t="s">
        <v>202</v>
      </c>
      <c r="D61" s="8">
        <v>28</v>
      </c>
      <c r="E61" s="30">
        <v>14000</v>
      </c>
    </row>
    <row r="62" spans="2:5" x14ac:dyDescent="0.4">
      <c r="B62" s="31">
        <v>45198</v>
      </c>
      <c r="C62" s="7" t="s">
        <v>203</v>
      </c>
      <c r="D62" s="8">
        <v>10</v>
      </c>
      <c r="E62" s="30">
        <v>5000</v>
      </c>
    </row>
    <row r="63" spans="2:5" x14ac:dyDescent="0.4">
      <c r="B63" s="31">
        <v>45199</v>
      </c>
      <c r="C63" s="7" t="s">
        <v>199</v>
      </c>
      <c r="D63" s="8">
        <v>12</v>
      </c>
      <c r="E63" s="30">
        <v>6000</v>
      </c>
    </row>
    <row r="64" spans="2:5" x14ac:dyDescent="0.4">
      <c r="B64" s="31">
        <v>45200</v>
      </c>
      <c r="C64" s="7" t="s">
        <v>194</v>
      </c>
      <c r="D64" s="8">
        <v>35</v>
      </c>
      <c r="E64" s="30">
        <v>17500</v>
      </c>
    </row>
    <row r="65" spans="2:5" x14ac:dyDescent="0.4">
      <c r="B65" s="31">
        <v>45201</v>
      </c>
      <c r="C65" s="7" t="s">
        <v>120</v>
      </c>
      <c r="D65" s="8">
        <v>24</v>
      </c>
      <c r="E65" s="30">
        <v>12000</v>
      </c>
    </row>
    <row r="66" spans="2:5" x14ac:dyDescent="0.4">
      <c r="B66" s="31">
        <v>45202</v>
      </c>
      <c r="C66" s="7" t="s">
        <v>193</v>
      </c>
      <c r="D66" s="8">
        <v>18</v>
      </c>
      <c r="E66" s="30">
        <v>9000</v>
      </c>
    </row>
    <row r="67" spans="2:5" x14ac:dyDescent="0.4">
      <c r="B67" s="31">
        <v>45203</v>
      </c>
      <c r="C67" s="7" t="s">
        <v>119</v>
      </c>
      <c r="D67" s="8">
        <v>26</v>
      </c>
      <c r="E67" s="30">
        <v>13000</v>
      </c>
    </row>
    <row r="68" spans="2:5" x14ac:dyDescent="0.4">
      <c r="B68" s="31">
        <v>45204</v>
      </c>
      <c r="C68" s="7" t="s">
        <v>122</v>
      </c>
      <c r="D68" s="8">
        <v>16</v>
      </c>
      <c r="E68" s="30">
        <v>8000</v>
      </c>
    </row>
    <row r="69" spans="2:5" x14ac:dyDescent="0.4">
      <c r="B69" s="31">
        <v>45205</v>
      </c>
      <c r="C69" s="7" t="s">
        <v>195</v>
      </c>
      <c r="D69" s="8">
        <v>31</v>
      </c>
      <c r="E69" s="30">
        <v>15500</v>
      </c>
    </row>
    <row r="70" spans="2:5" x14ac:dyDescent="0.4">
      <c r="B70" s="31">
        <v>45206</v>
      </c>
      <c r="C70" s="7" t="s">
        <v>196</v>
      </c>
      <c r="D70" s="8">
        <v>21</v>
      </c>
      <c r="E70" s="30">
        <v>10500</v>
      </c>
    </row>
    <row r="71" spans="2:5" x14ac:dyDescent="0.4">
      <c r="B71" s="31">
        <v>45207</v>
      </c>
      <c r="C71" s="7" t="s">
        <v>198</v>
      </c>
      <c r="D71" s="8">
        <v>14</v>
      </c>
      <c r="E71" s="30">
        <v>7000</v>
      </c>
    </row>
    <row r="72" spans="2:5" x14ac:dyDescent="0.4">
      <c r="B72" s="31">
        <v>45208</v>
      </c>
      <c r="C72" s="7" t="s">
        <v>123</v>
      </c>
      <c r="D72" s="8">
        <v>19</v>
      </c>
      <c r="E72" s="30">
        <v>9500</v>
      </c>
    </row>
    <row r="73" spans="2:5" x14ac:dyDescent="0.4">
      <c r="B73" s="31">
        <v>45209</v>
      </c>
      <c r="C73" s="7" t="s">
        <v>204</v>
      </c>
      <c r="D73" s="8">
        <v>27</v>
      </c>
      <c r="E73" s="30">
        <v>13500</v>
      </c>
    </row>
    <row r="74" spans="2:5" x14ac:dyDescent="0.4">
      <c r="B74" s="31">
        <v>45210</v>
      </c>
      <c r="C74" s="7" t="s">
        <v>200</v>
      </c>
      <c r="D74" s="8">
        <v>23</v>
      </c>
      <c r="E74" s="30">
        <v>11500</v>
      </c>
    </row>
    <row r="75" spans="2:5" x14ac:dyDescent="0.4">
      <c r="B75" s="31">
        <v>45211</v>
      </c>
      <c r="C75" s="7" t="s">
        <v>202</v>
      </c>
      <c r="D75" s="8">
        <v>17</v>
      </c>
      <c r="E75" s="30">
        <v>8500</v>
      </c>
    </row>
    <row r="76" spans="2:5" x14ac:dyDescent="0.4">
      <c r="B76" s="31">
        <v>45212</v>
      </c>
      <c r="C76" s="7" t="s">
        <v>205</v>
      </c>
      <c r="D76" s="8">
        <v>29</v>
      </c>
      <c r="E76" s="30">
        <v>14500</v>
      </c>
    </row>
    <row r="77" spans="2:5" x14ac:dyDescent="0.4">
      <c r="B77" s="31">
        <v>45213</v>
      </c>
      <c r="C77" s="7" t="s">
        <v>201</v>
      </c>
      <c r="D77" s="8">
        <v>13</v>
      </c>
      <c r="E77" s="30">
        <v>6500</v>
      </c>
    </row>
    <row r="78" spans="2:5" x14ac:dyDescent="0.4">
      <c r="B78" s="31">
        <v>45214</v>
      </c>
      <c r="C78" s="7" t="s">
        <v>203</v>
      </c>
      <c r="D78" s="8">
        <v>9</v>
      </c>
      <c r="E78" s="30">
        <v>4500</v>
      </c>
    </row>
    <row r="79" spans="2:5" x14ac:dyDescent="0.4">
      <c r="B79" s="31">
        <v>45215</v>
      </c>
      <c r="C79" s="7" t="s">
        <v>199</v>
      </c>
      <c r="D79" s="8">
        <v>32</v>
      </c>
      <c r="E79" s="30">
        <v>16000</v>
      </c>
    </row>
    <row r="80" spans="2:5" x14ac:dyDescent="0.4">
      <c r="B80" s="31">
        <v>45216</v>
      </c>
      <c r="C80" s="7" t="s">
        <v>194</v>
      </c>
      <c r="D80" s="8">
        <v>11</v>
      </c>
      <c r="E80" s="30">
        <v>5500</v>
      </c>
    </row>
    <row r="81" spans="2:5" x14ac:dyDescent="0.4">
      <c r="B81" s="31">
        <v>45217</v>
      </c>
      <c r="C81" s="7" t="s">
        <v>120</v>
      </c>
      <c r="D81" s="8">
        <v>20</v>
      </c>
      <c r="E81" s="30">
        <v>10000</v>
      </c>
    </row>
    <row r="82" spans="2:5" x14ac:dyDescent="0.4">
      <c r="B82" s="31">
        <v>45218</v>
      </c>
      <c r="C82" s="7" t="s">
        <v>193</v>
      </c>
      <c r="D82" s="8">
        <v>25</v>
      </c>
      <c r="E82" s="30">
        <v>12500</v>
      </c>
    </row>
    <row r="83" spans="2:5" x14ac:dyDescent="0.4">
      <c r="B83" s="31">
        <v>45219</v>
      </c>
      <c r="C83" s="7" t="s">
        <v>122</v>
      </c>
      <c r="D83" s="8">
        <v>15</v>
      </c>
      <c r="E83" s="30">
        <v>7500</v>
      </c>
    </row>
    <row r="84" spans="2:5" x14ac:dyDescent="0.4">
      <c r="B84" s="31">
        <v>45220</v>
      </c>
      <c r="C84" s="7" t="s">
        <v>197</v>
      </c>
      <c r="D84" s="8">
        <v>30</v>
      </c>
      <c r="E84" s="30">
        <v>15000</v>
      </c>
    </row>
    <row r="85" spans="2:5" x14ac:dyDescent="0.4">
      <c r="B85" s="31">
        <v>45221</v>
      </c>
      <c r="C85" s="7" t="s">
        <v>195</v>
      </c>
      <c r="D85" s="8">
        <v>18</v>
      </c>
      <c r="E85" s="30">
        <v>9000</v>
      </c>
    </row>
    <row r="86" spans="2:5" x14ac:dyDescent="0.4">
      <c r="B86" s="31">
        <v>45222</v>
      </c>
      <c r="C86" s="7" t="s">
        <v>198</v>
      </c>
      <c r="D86" s="8">
        <v>22</v>
      </c>
      <c r="E86" s="30">
        <v>11000</v>
      </c>
    </row>
    <row r="87" spans="2:5" x14ac:dyDescent="0.4">
      <c r="B87" s="31">
        <v>45223</v>
      </c>
      <c r="C87" s="7" t="s">
        <v>196</v>
      </c>
      <c r="D87" s="8">
        <v>28</v>
      </c>
      <c r="E87" s="30">
        <v>14000</v>
      </c>
    </row>
    <row r="88" spans="2:5" x14ac:dyDescent="0.4">
      <c r="B88" s="31">
        <v>45224</v>
      </c>
      <c r="C88" s="7" t="s">
        <v>119</v>
      </c>
      <c r="D88" s="8">
        <v>10</v>
      </c>
      <c r="E88" s="30">
        <v>5000</v>
      </c>
    </row>
    <row r="89" spans="2:5" x14ac:dyDescent="0.4">
      <c r="B89" s="31">
        <v>45225</v>
      </c>
      <c r="C89" s="7" t="s">
        <v>123</v>
      </c>
      <c r="D89" s="8">
        <v>12</v>
      </c>
      <c r="E89" s="30">
        <v>6000</v>
      </c>
    </row>
    <row r="90" spans="2:5" x14ac:dyDescent="0.4">
      <c r="B90" s="31">
        <v>45226</v>
      </c>
      <c r="C90" s="7" t="s">
        <v>201</v>
      </c>
      <c r="D90" s="8">
        <v>35</v>
      </c>
      <c r="E90" s="30">
        <v>17500</v>
      </c>
    </row>
    <row r="91" spans="2:5" x14ac:dyDescent="0.4">
      <c r="B91" s="31">
        <v>45227</v>
      </c>
      <c r="C91" s="7" t="s">
        <v>195</v>
      </c>
      <c r="D91" s="8">
        <v>24</v>
      </c>
      <c r="E91" s="30">
        <v>12000</v>
      </c>
    </row>
    <row r="92" spans="2:5" x14ac:dyDescent="0.4">
      <c r="B92" s="31">
        <v>45228</v>
      </c>
      <c r="C92" s="7" t="s">
        <v>200</v>
      </c>
      <c r="D92" s="8">
        <v>18</v>
      </c>
      <c r="E92" s="30">
        <v>9000</v>
      </c>
    </row>
    <row r="93" spans="2:5" x14ac:dyDescent="0.4">
      <c r="B93" s="31">
        <v>45229</v>
      </c>
      <c r="C93" s="7" t="s">
        <v>202</v>
      </c>
      <c r="D93" s="8">
        <v>26</v>
      </c>
      <c r="E93" s="30">
        <v>13000</v>
      </c>
    </row>
    <row r="94" spans="2:5" x14ac:dyDescent="0.4">
      <c r="B94" s="31">
        <v>45230</v>
      </c>
      <c r="C94" s="7" t="s">
        <v>203</v>
      </c>
      <c r="D94" s="8">
        <v>16</v>
      </c>
      <c r="E94" s="30">
        <v>8000</v>
      </c>
    </row>
  </sheetData>
  <mergeCells count="1">
    <mergeCell ref="B1:E1"/>
  </mergeCells>
  <dataValidations count="1">
    <dataValidation type="list" allowBlank="1" showInputMessage="1" showErrorMessage="1" sqref="H6" xr:uid="{FD3BE391-A09A-4780-B4D5-D971F59230CC}">
      <formula1>$I$6:$I$24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946" r:id="rId4" name="Check Box 2">
              <controlPr defaultSize="0" autoFill="0" autoLine="0" autoPict="0" altText="">
                <anchor moveWithCells="1">
                  <from>
                    <xdr:col>3</xdr:col>
                    <xdr:colOff>762000</xdr:colOff>
                    <xdr:row>0</xdr:row>
                    <xdr:rowOff>0</xdr:rowOff>
                  </from>
                  <to>
                    <xdr:col>4</xdr:col>
                    <xdr:colOff>68580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E112-6189-4053-BB8F-2F1BA7457BDB}">
  <sheetPr>
    <tabColor theme="1"/>
  </sheetPr>
  <dimension ref="B1:G8"/>
  <sheetViews>
    <sheetView zoomScale="175" zoomScaleNormal="175" workbookViewId="0">
      <selection activeCell="B1" sqref="B1:G1"/>
    </sheetView>
  </sheetViews>
  <sheetFormatPr defaultRowHeight="16.8" x14ac:dyDescent="0.4"/>
  <cols>
    <col min="1" max="1" width="1.19921875" customWidth="1"/>
    <col min="2" max="2" width="8.69921875" customWidth="1"/>
    <col min="3" max="4" width="8" customWidth="1"/>
    <col min="5" max="5" width="9.296875" customWidth="1"/>
    <col min="6" max="6" width="2.09765625" customWidth="1"/>
    <col min="7" max="7" width="29.09765625" bestFit="1" customWidth="1"/>
  </cols>
  <sheetData>
    <row r="1" spans="2:7" ht="26.25" customHeight="1" x14ac:dyDescent="0.4">
      <c r="B1" s="142" t="s">
        <v>60</v>
      </c>
      <c r="C1" s="142"/>
      <c r="D1" s="142"/>
      <c r="E1" s="142"/>
      <c r="F1" s="142"/>
      <c r="G1" s="142"/>
    </row>
    <row r="2" spans="2:7" x14ac:dyDescent="0.4">
      <c r="B2" s="77" t="s">
        <v>12</v>
      </c>
      <c r="C2" s="77" t="s">
        <v>5</v>
      </c>
      <c r="D2" s="77" t="s">
        <v>118</v>
      </c>
      <c r="E2" s="77" t="s">
        <v>13</v>
      </c>
      <c r="G2" s="81" t="s">
        <v>803</v>
      </c>
    </row>
    <row r="3" spans="2:7" x14ac:dyDescent="0.4">
      <c r="B3" s="7" t="s">
        <v>14</v>
      </c>
      <c r="C3" s="8" t="s">
        <v>122</v>
      </c>
      <c r="D3" s="8" t="s">
        <v>17</v>
      </c>
      <c r="E3" s="8">
        <v>100</v>
      </c>
      <c r="G3" s="82"/>
    </row>
    <row r="4" spans="2:7" x14ac:dyDescent="0.4">
      <c r="B4" s="7" t="s">
        <v>29</v>
      </c>
      <c r="C4" s="8" t="s">
        <v>122</v>
      </c>
      <c r="D4" s="8" t="s">
        <v>18</v>
      </c>
      <c r="E4" s="8">
        <v>50</v>
      </c>
      <c r="G4" s="67"/>
    </row>
    <row r="5" spans="2:7" x14ac:dyDescent="0.4">
      <c r="B5" s="7" t="s">
        <v>126</v>
      </c>
      <c r="C5" s="8" t="s">
        <v>123</v>
      </c>
      <c r="D5" s="8" t="s">
        <v>17</v>
      </c>
      <c r="E5" s="8">
        <v>90</v>
      </c>
    </row>
    <row r="6" spans="2:7" x14ac:dyDescent="0.4">
      <c r="B6" s="7" t="s">
        <v>19</v>
      </c>
      <c r="C6" s="8" t="s">
        <v>122</v>
      </c>
      <c r="D6" s="8" t="s">
        <v>17</v>
      </c>
      <c r="E6" s="8">
        <v>70</v>
      </c>
    </row>
    <row r="7" spans="2:7" x14ac:dyDescent="0.4">
      <c r="B7" s="7" t="s">
        <v>127</v>
      </c>
      <c r="C7" s="8" t="s">
        <v>122</v>
      </c>
      <c r="D7" s="8" t="s">
        <v>18</v>
      </c>
      <c r="E7" s="8">
        <v>65</v>
      </c>
    </row>
    <row r="8" spans="2:7" x14ac:dyDescent="0.4">
      <c r="B8" s="7" t="s">
        <v>128</v>
      </c>
      <c r="C8" s="8" t="s">
        <v>123</v>
      </c>
      <c r="D8" s="8" t="s">
        <v>17</v>
      </c>
      <c r="E8" s="8">
        <v>60</v>
      </c>
    </row>
  </sheetData>
  <mergeCells count="2">
    <mergeCell ref="G2:G3"/>
    <mergeCell ref="B1:G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3" name="Check Box 1">
              <controlPr defaultSize="0" autoFill="0" autoLine="0" autoPict="0" altText="">
                <anchor moveWithCells="1">
                  <from>
                    <xdr:col>6</xdr:col>
                    <xdr:colOff>1097280</xdr:colOff>
                    <xdr:row>0</xdr:row>
                    <xdr:rowOff>68580</xdr:rowOff>
                  </from>
                  <to>
                    <xdr:col>6</xdr:col>
                    <xdr:colOff>1402080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BAB9-B702-498E-B63D-D8AA28751177}">
  <sheetPr>
    <tabColor theme="0"/>
  </sheetPr>
  <dimension ref="B1:H94"/>
  <sheetViews>
    <sheetView workbookViewId="0">
      <selection activeCell="H17" sqref="H17"/>
    </sheetView>
  </sheetViews>
  <sheetFormatPr defaultRowHeight="16.8" x14ac:dyDescent="0.4"/>
  <cols>
    <col min="2" max="2" width="11.3984375" style="4" customWidth="1"/>
    <col min="3" max="4" width="13.69921875" customWidth="1"/>
    <col min="5" max="5" width="11.59765625" style="4" customWidth="1"/>
    <col min="6" max="6" width="16.19921875" customWidth="1"/>
    <col min="8" max="8" width="32.3984375" bestFit="1" customWidth="1"/>
    <col min="9" max="9" width="11" customWidth="1"/>
  </cols>
  <sheetData>
    <row r="1" spans="2:8" ht="23.25" customHeight="1" x14ac:dyDescent="0.4">
      <c r="B1" s="131" t="s">
        <v>562</v>
      </c>
      <c r="C1" s="131"/>
      <c r="D1" s="131"/>
      <c r="E1" s="131"/>
      <c r="F1" s="131"/>
    </row>
    <row r="2" spans="2:8" x14ac:dyDescent="0.4">
      <c r="B2" s="77" t="s">
        <v>208</v>
      </c>
      <c r="C2" s="77" t="s">
        <v>209</v>
      </c>
      <c r="D2" s="77" t="s">
        <v>118</v>
      </c>
      <c r="E2" s="77" t="s">
        <v>210</v>
      </c>
      <c r="F2" s="77" t="s">
        <v>211</v>
      </c>
    </row>
    <row r="3" spans="2:8" x14ac:dyDescent="0.4">
      <c r="B3" s="31">
        <v>45139</v>
      </c>
      <c r="C3" s="7" t="s">
        <v>120</v>
      </c>
      <c r="D3" s="8" t="s">
        <v>17</v>
      </c>
      <c r="E3" s="8">
        <v>25</v>
      </c>
      <c r="F3" s="30">
        <v>12500</v>
      </c>
      <c r="H3" s="83" t="s">
        <v>804</v>
      </c>
    </row>
    <row r="4" spans="2:8" x14ac:dyDescent="0.4">
      <c r="B4" s="31">
        <v>45140</v>
      </c>
      <c r="C4" s="7" t="s">
        <v>193</v>
      </c>
      <c r="D4" s="8" t="s">
        <v>18</v>
      </c>
      <c r="E4" s="8">
        <v>15</v>
      </c>
      <c r="F4" s="30">
        <v>15000</v>
      </c>
      <c r="H4" s="84"/>
    </row>
    <row r="5" spans="2:8" x14ac:dyDescent="0.4">
      <c r="B5" s="31">
        <v>45141</v>
      </c>
      <c r="C5" s="7" t="s">
        <v>119</v>
      </c>
      <c r="D5" s="8" t="s">
        <v>17</v>
      </c>
      <c r="E5" s="8">
        <v>30</v>
      </c>
      <c r="F5" s="30">
        <v>9000</v>
      </c>
      <c r="H5" s="32"/>
    </row>
    <row r="6" spans="2:8" x14ac:dyDescent="0.4">
      <c r="B6" s="31">
        <v>45142</v>
      </c>
      <c r="C6" s="7" t="s">
        <v>194</v>
      </c>
      <c r="D6" s="8" t="s">
        <v>18</v>
      </c>
      <c r="E6" s="8">
        <v>20</v>
      </c>
      <c r="F6" s="30">
        <v>10000</v>
      </c>
    </row>
    <row r="7" spans="2:8" x14ac:dyDescent="0.4">
      <c r="B7" s="31">
        <v>45143</v>
      </c>
      <c r="C7" s="7" t="s">
        <v>122</v>
      </c>
      <c r="D7" s="8" t="s">
        <v>17</v>
      </c>
      <c r="E7" s="8">
        <v>18</v>
      </c>
      <c r="F7" s="30">
        <v>9000</v>
      </c>
      <c r="H7" s="6" t="s">
        <v>213</v>
      </c>
    </row>
    <row r="8" spans="2:8" x14ac:dyDescent="0.4">
      <c r="B8" s="31">
        <v>45144</v>
      </c>
      <c r="C8" s="7" t="s">
        <v>195</v>
      </c>
      <c r="D8" s="8" t="s">
        <v>18</v>
      </c>
      <c r="E8" s="8">
        <v>22</v>
      </c>
      <c r="F8" s="30">
        <v>11000</v>
      </c>
      <c r="H8" s="8"/>
    </row>
    <row r="9" spans="2:8" x14ac:dyDescent="0.4">
      <c r="B9" s="31">
        <v>45145</v>
      </c>
      <c r="C9" s="7" t="s">
        <v>196</v>
      </c>
      <c r="D9" s="8" t="s">
        <v>17</v>
      </c>
      <c r="E9" s="8">
        <v>28</v>
      </c>
      <c r="F9" s="30">
        <v>14000</v>
      </c>
    </row>
    <row r="10" spans="2:8" x14ac:dyDescent="0.4">
      <c r="B10" s="31">
        <v>45146</v>
      </c>
      <c r="C10" s="7" t="s">
        <v>197</v>
      </c>
      <c r="D10" s="8" t="s">
        <v>18</v>
      </c>
      <c r="E10" s="8">
        <v>10</v>
      </c>
      <c r="F10" s="30">
        <v>5000</v>
      </c>
    </row>
    <row r="11" spans="2:8" x14ac:dyDescent="0.4">
      <c r="B11" s="31">
        <v>45147</v>
      </c>
      <c r="C11" s="7" t="s">
        <v>198</v>
      </c>
      <c r="D11" s="8" t="s">
        <v>17</v>
      </c>
      <c r="E11" s="8">
        <v>12</v>
      </c>
      <c r="F11" s="30">
        <v>6000</v>
      </c>
    </row>
    <row r="12" spans="2:8" x14ac:dyDescent="0.4">
      <c r="B12" s="31">
        <v>45148</v>
      </c>
      <c r="C12" s="7" t="s">
        <v>199</v>
      </c>
      <c r="D12" s="8" t="s">
        <v>18</v>
      </c>
      <c r="E12" s="8">
        <v>35</v>
      </c>
      <c r="F12" s="30">
        <v>17500</v>
      </c>
    </row>
    <row r="13" spans="2:8" x14ac:dyDescent="0.4">
      <c r="B13" s="31">
        <v>45149</v>
      </c>
      <c r="C13" s="7" t="s">
        <v>200</v>
      </c>
      <c r="D13" s="8" t="s">
        <v>17</v>
      </c>
      <c r="E13" s="8">
        <v>24</v>
      </c>
      <c r="F13" s="30">
        <v>12000</v>
      </c>
    </row>
    <row r="14" spans="2:8" x14ac:dyDescent="0.4">
      <c r="B14" s="31">
        <v>45150</v>
      </c>
      <c r="C14" s="7" t="s">
        <v>123</v>
      </c>
      <c r="D14" s="8" t="s">
        <v>18</v>
      </c>
      <c r="E14" s="8">
        <v>18</v>
      </c>
      <c r="F14" s="30">
        <v>9000</v>
      </c>
    </row>
    <row r="15" spans="2:8" x14ac:dyDescent="0.4">
      <c r="B15" s="31">
        <v>45151</v>
      </c>
      <c r="C15" s="7" t="s">
        <v>201</v>
      </c>
      <c r="D15" s="8" t="s">
        <v>17</v>
      </c>
      <c r="E15" s="8">
        <v>26</v>
      </c>
      <c r="F15" s="30">
        <v>13000</v>
      </c>
    </row>
    <row r="16" spans="2:8" x14ac:dyDescent="0.4">
      <c r="B16" s="31">
        <v>45152</v>
      </c>
      <c r="C16" s="7" t="s">
        <v>202</v>
      </c>
      <c r="D16" s="8" t="s">
        <v>18</v>
      </c>
      <c r="E16" s="8">
        <v>16</v>
      </c>
      <c r="F16" s="30">
        <v>8000</v>
      </c>
    </row>
    <row r="17" spans="2:6" x14ac:dyDescent="0.4">
      <c r="B17" s="31">
        <v>45153</v>
      </c>
      <c r="C17" s="7" t="s">
        <v>203</v>
      </c>
      <c r="D17" s="8" t="s">
        <v>17</v>
      </c>
      <c r="E17" s="8">
        <v>31</v>
      </c>
      <c r="F17" s="30">
        <v>15500</v>
      </c>
    </row>
    <row r="18" spans="2:6" x14ac:dyDescent="0.4">
      <c r="B18" s="31">
        <v>45154</v>
      </c>
      <c r="C18" s="7" t="s">
        <v>204</v>
      </c>
      <c r="D18" s="8" t="s">
        <v>18</v>
      </c>
      <c r="E18" s="8">
        <v>21</v>
      </c>
      <c r="F18" s="30">
        <v>10500</v>
      </c>
    </row>
    <row r="19" spans="2:6" x14ac:dyDescent="0.4">
      <c r="B19" s="31">
        <v>45155</v>
      </c>
      <c r="C19" s="7" t="s">
        <v>205</v>
      </c>
      <c r="D19" s="8" t="s">
        <v>17</v>
      </c>
      <c r="E19" s="8">
        <v>14</v>
      </c>
      <c r="F19" s="30">
        <v>7000</v>
      </c>
    </row>
    <row r="20" spans="2:6" x14ac:dyDescent="0.4">
      <c r="B20" s="31">
        <v>45156</v>
      </c>
      <c r="C20" s="7" t="s">
        <v>206</v>
      </c>
      <c r="D20" s="8" t="s">
        <v>18</v>
      </c>
      <c r="E20" s="8">
        <v>19</v>
      </c>
      <c r="F20" s="30">
        <v>9500</v>
      </c>
    </row>
    <row r="21" spans="2:6" x14ac:dyDescent="0.4">
      <c r="B21" s="31">
        <v>45157</v>
      </c>
      <c r="C21" s="7" t="s">
        <v>207</v>
      </c>
      <c r="D21" s="8" t="s">
        <v>17</v>
      </c>
      <c r="E21" s="8">
        <v>27</v>
      </c>
      <c r="F21" s="30">
        <v>13500</v>
      </c>
    </row>
    <row r="22" spans="2:6" x14ac:dyDescent="0.4">
      <c r="B22" s="31">
        <v>45158</v>
      </c>
      <c r="C22" s="7" t="s">
        <v>204</v>
      </c>
      <c r="D22" s="8" t="s">
        <v>18</v>
      </c>
      <c r="E22" s="8">
        <v>23</v>
      </c>
      <c r="F22" s="30">
        <v>11500</v>
      </c>
    </row>
    <row r="23" spans="2:6" x14ac:dyDescent="0.4">
      <c r="B23" s="31">
        <v>45159</v>
      </c>
      <c r="C23" s="7" t="s">
        <v>122</v>
      </c>
      <c r="D23" s="8" t="s">
        <v>17</v>
      </c>
      <c r="E23" s="8">
        <v>17</v>
      </c>
      <c r="F23" s="30">
        <v>8500</v>
      </c>
    </row>
    <row r="24" spans="2:6" x14ac:dyDescent="0.4">
      <c r="B24" s="31">
        <v>45160</v>
      </c>
      <c r="C24" s="7" t="s">
        <v>197</v>
      </c>
      <c r="D24" s="8" t="s">
        <v>18</v>
      </c>
      <c r="E24" s="8">
        <v>29</v>
      </c>
      <c r="F24" s="30">
        <v>14500</v>
      </c>
    </row>
    <row r="25" spans="2:6" x14ac:dyDescent="0.4">
      <c r="B25" s="31">
        <v>45161</v>
      </c>
      <c r="C25" s="7" t="s">
        <v>196</v>
      </c>
      <c r="D25" s="8" t="s">
        <v>17</v>
      </c>
      <c r="E25" s="8">
        <v>13</v>
      </c>
      <c r="F25" s="30">
        <v>6500</v>
      </c>
    </row>
    <row r="26" spans="2:6" x14ac:dyDescent="0.4">
      <c r="B26" s="31">
        <v>45162</v>
      </c>
      <c r="C26" s="7" t="s">
        <v>119</v>
      </c>
      <c r="D26" s="8" t="s">
        <v>18</v>
      </c>
      <c r="E26" s="8">
        <v>9</v>
      </c>
      <c r="F26" s="30">
        <v>4500</v>
      </c>
    </row>
    <row r="27" spans="2:6" x14ac:dyDescent="0.4">
      <c r="B27" s="31">
        <v>45163</v>
      </c>
      <c r="C27" s="7" t="s">
        <v>120</v>
      </c>
      <c r="D27" s="8" t="s">
        <v>17</v>
      </c>
      <c r="E27" s="8">
        <v>32</v>
      </c>
      <c r="F27" s="30">
        <v>16000</v>
      </c>
    </row>
    <row r="28" spans="2:6" x14ac:dyDescent="0.4">
      <c r="B28" s="31">
        <v>45164</v>
      </c>
      <c r="C28" s="7" t="s">
        <v>199</v>
      </c>
      <c r="D28" s="8" t="s">
        <v>18</v>
      </c>
      <c r="E28" s="8">
        <v>11</v>
      </c>
      <c r="F28" s="30">
        <v>5500</v>
      </c>
    </row>
    <row r="29" spans="2:6" x14ac:dyDescent="0.4">
      <c r="B29" s="31">
        <v>45165</v>
      </c>
      <c r="C29" s="7" t="s">
        <v>193</v>
      </c>
      <c r="D29" s="8" t="s">
        <v>17</v>
      </c>
      <c r="E29" s="8">
        <v>20</v>
      </c>
      <c r="F29" s="30">
        <v>10000</v>
      </c>
    </row>
    <row r="30" spans="2:6" x14ac:dyDescent="0.4">
      <c r="B30" s="31">
        <v>45166</v>
      </c>
      <c r="C30" s="7" t="s">
        <v>194</v>
      </c>
      <c r="D30" s="8" t="s">
        <v>18</v>
      </c>
      <c r="E30" s="8">
        <v>25</v>
      </c>
      <c r="F30" s="30">
        <v>12500</v>
      </c>
    </row>
    <row r="31" spans="2:6" x14ac:dyDescent="0.4">
      <c r="B31" s="31">
        <v>45167</v>
      </c>
      <c r="C31" s="7" t="s">
        <v>123</v>
      </c>
      <c r="D31" s="8" t="s">
        <v>17</v>
      </c>
      <c r="E31" s="8">
        <v>15</v>
      </c>
      <c r="F31" s="30">
        <v>7500</v>
      </c>
    </row>
    <row r="32" spans="2:6" x14ac:dyDescent="0.4">
      <c r="B32" s="31">
        <v>45168</v>
      </c>
      <c r="C32" s="7" t="s">
        <v>201</v>
      </c>
      <c r="D32" s="8" t="s">
        <v>18</v>
      </c>
      <c r="E32" s="8">
        <v>30</v>
      </c>
      <c r="F32" s="30">
        <v>15000</v>
      </c>
    </row>
    <row r="33" spans="2:6" x14ac:dyDescent="0.4">
      <c r="B33" s="31">
        <v>45169</v>
      </c>
      <c r="C33" s="7" t="s">
        <v>195</v>
      </c>
      <c r="D33" s="8" t="s">
        <v>17</v>
      </c>
      <c r="E33" s="8">
        <v>18</v>
      </c>
      <c r="F33" s="30">
        <v>9000</v>
      </c>
    </row>
    <row r="34" spans="2:6" x14ac:dyDescent="0.4">
      <c r="B34" s="31">
        <v>45170</v>
      </c>
      <c r="C34" s="7" t="s">
        <v>198</v>
      </c>
      <c r="D34" s="8" t="s">
        <v>18</v>
      </c>
      <c r="E34" s="8">
        <v>22</v>
      </c>
      <c r="F34" s="30">
        <v>11000</v>
      </c>
    </row>
    <row r="35" spans="2:6" x14ac:dyDescent="0.4">
      <c r="B35" s="31">
        <v>45171</v>
      </c>
      <c r="C35" s="7" t="s">
        <v>200</v>
      </c>
      <c r="D35" s="8" t="s">
        <v>17</v>
      </c>
      <c r="E35" s="8">
        <v>28</v>
      </c>
      <c r="F35" s="30">
        <v>14000</v>
      </c>
    </row>
    <row r="36" spans="2:6" x14ac:dyDescent="0.4">
      <c r="B36" s="31">
        <v>45172</v>
      </c>
      <c r="C36" s="7" t="s">
        <v>202</v>
      </c>
      <c r="D36" s="8" t="s">
        <v>18</v>
      </c>
      <c r="E36" s="8">
        <v>10</v>
      </c>
      <c r="F36" s="30">
        <v>5000</v>
      </c>
    </row>
    <row r="37" spans="2:6" x14ac:dyDescent="0.4">
      <c r="B37" s="31">
        <v>45173</v>
      </c>
      <c r="C37" s="7" t="s">
        <v>203</v>
      </c>
      <c r="D37" s="8" t="s">
        <v>17</v>
      </c>
      <c r="E37" s="8">
        <v>12</v>
      </c>
      <c r="F37" s="30">
        <v>6000</v>
      </c>
    </row>
    <row r="38" spans="2:6" x14ac:dyDescent="0.4">
      <c r="B38" s="31">
        <v>45174</v>
      </c>
      <c r="C38" s="7" t="s">
        <v>206</v>
      </c>
      <c r="D38" s="8" t="s">
        <v>18</v>
      </c>
      <c r="E38" s="8">
        <v>35</v>
      </c>
      <c r="F38" s="30">
        <v>17500</v>
      </c>
    </row>
    <row r="39" spans="2:6" x14ac:dyDescent="0.4">
      <c r="B39" s="31">
        <v>45175</v>
      </c>
      <c r="C39" s="7" t="s">
        <v>205</v>
      </c>
      <c r="D39" s="8" t="s">
        <v>17</v>
      </c>
      <c r="E39" s="8">
        <v>24</v>
      </c>
      <c r="F39" s="30">
        <v>12000</v>
      </c>
    </row>
    <row r="40" spans="2:6" x14ac:dyDescent="0.4">
      <c r="B40" s="31">
        <v>45176</v>
      </c>
      <c r="C40" s="7" t="s">
        <v>204</v>
      </c>
      <c r="D40" s="8" t="s">
        <v>18</v>
      </c>
      <c r="E40" s="8">
        <v>18</v>
      </c>
      <c r="F40" s="30">
        <v>9000</v>
      </c>
    </row>
    <row r="41" spans="2:6" x14ac:dyDescent="0.4">
      <c r="B41" s="31">
        <v>45177</v>
      </c>
      <c r="C41" s="7" t="s">
        <v>122</v>
      </c>
      <c r="D41" s="8" t="s">
        <v>17</v>
      </c>
      <c r="E41" s="8">
        <v>26</v>
      </c>
      <c r="F41" s="30">
        <v>13000</v>
      </c>
    </row>
    <row r="42" spans="2:6" x14ac:dyDescent="0.4">
      <c r="B42" s="31">
        <v>45178</v>
      </c>
      <c r="C42" s="7" t="s">
        <v>197</v>
      </c>
      <c r="D42" s="8" t="s">
        <v>18</v>
      </c>
      <c r="E42" s="8">
        <v>16</v>
      </c>
      <c r="F42" s="30">
        <v>8000</v>
      </c>
    </row>
    <row r="43" spans="2:6" x14ac:dyDescent="0.4">
      <c r="B43" s="31">
        <v>45179</v>
      </c>
      <c r="C43" s="7" t="s">
        <v>119</v>
      </c>
      <c r="D43" s="8" t="s">
        <v>17</v>
      </c>
      <c r="E43" s="8">
        <v>31</v>
      </c>
      <c r="F43" s="30">
        <v>15500</v>
      </c>
    </row>
    <row r="44" spans="2:6" x14ac:dyDescent="0.4">
      <c r="B44" s="31">
        <v>45180</v>
      </c>
      <c r="C44" s="7" t="s">
        <v>193</v>
      </c>
      <c r="D44" s="8" t="s">
        <v>18</v>
      </c>
      <c r="E44" s="8">
        <v>21</v>
      </c>
      <c r="F44" s="30">
        <v>10500</v>
      </c>
    </row>
    <row r="45" spans="2:6" x14ac:dyDescent="0.4">
      <c r="B45" s="31">
        <v>45181</v>
      </c>
      <c r="C45" s="7" t="s">
        <v>123</v>
      </c>
      <c r="D45" s="8" t="s">
        <v>17</v>
      </c>
      <c r="E45" s="8">
        <v>14</v>
      </c>
      <c r="F45" s="30">
        <v>7000</v>
      </c>
    </row>
    <row r="46" spans="2:6" x14ac:dyDescent="0.4">
      <c r="B46" s="31">
        <v>45182</v>
      </c>
      <c r="C46" s="7" t="s">
        <v>196</v>
      </c>
      <c r="D46" s="8" t="s">
        <v>18</v>
      </c>
      <c r="E46" s="8">
        <v>19</v>
      </c>
      <c r="F46" s="30">
        <v>9500</v>
      </c>
    </row>
    <row r="47" spans="2:6" x14ac:dyDescent="0.4">
      <c r="B47" s="31">
        <v>45183</v>
      </c>
      <c r="C47" s="7" t="s">
        <v>120</v>
      </c>
      <c r="D47" s="8" t="s">
        <v>17</v>
      </c>
      <c r="E47" s="8">
        <v>27</v>
      </c>
      <c r="F47" s="30">
        <v>13500</v>
      </c>
    </row>
    <row r="48" spans="2:6" x14ac:dyDescent="0.4">
      <c r="B48" s="31">
        <v>45184</v>
      </c>
      <c r="C48" s="7" t="s">
        <v>199</v>
      </c>
      <c r="D48" s="8" t="s">
        <v>18</v>
      </c>
      <c r="E48" s="8">
        <v>23</v>
      </c>
      <c r="F48" s="30">
        <v>11500</v>
      </c>
    </row>
    <row r="49" spans="2:6" x14ac:dyDescent="0.4">
      <c r="B49" s="31">
        <v>45185</v>
      </c>
      <c r="C49" s="7" t="s">
        <v>194</v>
      </c>
      <c r="D49" s="8" t="s">
        <v>17</v>
      </c>
      <c r="E49" s="8">
        <v>17</v>
      </c>
      <c r="F49" s="30">
        <v>8500</v>
      </c>
    </row>
    <row r="50" spans="2:6" x14ac:dyDescent="0.4">
      <c r="B50" s="31">
        <v>45186</v>
      </c>
      <c r="C50" s="7" t="s">
        <v>201</v>
      </c>
      <c r="D50" s="8" t="s">
        <v>18</v>
      </c>
      <c r="E50" s="8">
        <v>29</v>
      </c>
      <c r="F50" s="30">
        <v>14500</v>
      </c>
    </row>
    <row r="51" spans="2:6" x14ac:dyDescent="0.4">
      <c r="B51" s="31">
        <v>45187</v>
      </c>
      <c r="C51" s="7" t="s">
        <v>195</v>
      </c>
      <c r="D51" s="8" t="s">
        <v>17</v>
      </c>
      <c r="E51" s="8">
        <v>13</v>
      </c>
      <c r="F51" s="30">
        <v>6500</v>
      </c>
    </row>
    <row r="52" spans="2:6" x14ac:dyDescent="0.4">
      <c r="B52" s="31">
        <v>45188</v>
      </c>
      <c r="C52" s="7" t="s">
        <v>198</v>
      </c>
      <c r="D52" s="8" t="s">
        <v>18</v>
      </c>
      <c r="E52" s="8">
        <v>9</v>
      </c>
      <c r="F52" s="30">
        <v>4500</v>
      </c>
    </row>
    <row r="53" spans="2:6" x14ac:dyDescent="0.4">
      <c r="B53" s="31">
        <v>45189</v>
      </c>
      <c r="C53" s="7" t="s">
        <v>204</v>
      </c>
      <c r="D53" s="8" t="s">
        <v>17</v>
      </c>
      <c r="E53" s="8">
        <v>32</v>
      </c>
      <c r="F53" s="30">
        <v>16000</v>
      </c>
    </row>
    <row r="54" spans="2:6" x14ac:dyDescent="0.4">
      <c r="B54" s="31">
        <v>45190</v>
      </c>
      <c r="C54" s="7" t="s">
        <v>119</v>
      </c>
      <c r="D54" s="8" t="s">
        <v>18</v>
      </c>
      <c r="E54" s="8">
        <v>11</v>
      </c>
      <c r="F54" s="30">
        <v>5500</v>
      </c>
    </row>
    <row r="55" spans="2:6" x14ac:dyDescent="0.4">
      <c r="B55" s="31">
        <v>45191</v>
      </c>
      <c r="C55" s="7" t="s">
        <v>122</v>
      </c>
      <c r="D55" s="8" t="s">
        <v>17</v>
      </c>
      <c r="E55" s="8">
        <v>20</v>
      </c>
      <c r="F55" s="30">
        <v>10000</v>
      </c>
    </row>
    <row r="56" spans="2:6" x14ac:dyDescent="0.4">
      <c r="B56" s="31">
        <v>45192</v>
      </c>
      <c r="C56" s="7" t="s">
        <v>197</v>
      </c>
      <c r="D56" s="8" t="s">
        <v>18</v>
      </c>
      <c r="E56" s="8">
        <v>25</v>
      </c>
      <c r="F56" s="30">
        <v>12500</v>
      </c>
    </row>
    <row r="57" spans="2:6" x14ac:dyDescent="0.4">
      <c r="B57" s="31">
        <v>45193</v>
      </c>
      <c r="C57" s="7" t="s">
        <v>123</v>
      </c>
      <c r="D57" s="8" t="s">
        <v>17</v>
      </c>
      <c r="E57" s="8">
        <v>15</v>
      </c>
      <c r="F57" s="30">
        <v>7500</v>
      </c>
    </row>
    <row r="58" spans="2:6" x14ac:dyDescent="0.4">
      <c r="B58" s="31">
        <v>45194</v>
      </c>
      <c r="C58" s="7" t="s">
        <v>201</v>
      </c>
      <c r="D58" s="8" t="s">
        <v>18</v>
      </c>
      <c r="E58" s="8">
        <v>30</v>
      </c>
      <c r="F58" s="30">
        <v>15000</v>
      </c>
    </row>
    <row r="59" spans="2:6" x14ac:dyDescent="0.4">
      <c r="B59" s="31">
        <v>45195</v>
      </c>
      <c r="C59" s="7" t="s">
        <v>195</v>
      </c>
      <c r="D59" s="8" t="s">
        <v>17</v>
      </c>
      <c r="E59" s="8">
        <v>18</v>
      </c>
      <c r="F59" s="30">
        <v>9000</v>
      </c>
    </row>
    <row r="60" spans="2:6" x14ac:dyDescent="0.4">
      <c r="B60" s="31">
        <v>45196</v>
      </c>
      <c r="C60" s="7" t="s">
        <v>200</v>
      </c>
      <c r="D60" s="8" t="s">
        <v>18</v>
      </c>
      <c r="E60" s="8">
        <v>22</v>
      </c>
      <c r="F60" s="30">
        <v>11000</v>
      </c>
    </row>
    <row r="61" spans="2:6" x14ac:dyDescent="0.4">
      <c r="B61" s="31">
        <v>45197</v>
      </c>
      <c r="C61" s="7" t="s">
        <v>202</v>
      </c>
      <c r="D61" s="8" t="s">
        <v>17</v>
      </c>
      <c r="E61" s="8">
        <v>28</v>
      </c>
      <c r="F61" s="30">
        <v>14000</v>
      </c>
    </row>
    <row r="62" spans="2:6" x14ac:dyDescent="0.4">
      <c r="B62" s="31">
        <v>45198</v>
      </c>
      <c r="C62" s="7" t="s">
        <v>203</v>
      </c>
      <c r="D62" s="8" t="s">
        <v>18</v>
      </c>
      <c r="E62" s="8">
        <v>10</v>
      </c>
      <c r="F62" s="30">
        <v>5000</v>
      </c>
    </row>
    <row r="63" spans="2:6" x14ac:dyDescent="0.4">
      <c r="B63" s="31">
        <v>45199</v>
      </c>
      <c r="C63" s="7" t="s">
        <v>199</v>
      </c>
      <c r="D63" s="8" t="s">
        <v>17</v>
      </c>
      <c r="E63" s="8">
        <v>12</v>
      </c>
      <c r="F63" s="30">
        <v>6000</v>
      </c>
    </row>
    <row r="64" spans="2:6" x14ac:dyDescent="0.4">
      <c r="B64" s="31">
        <v>45200</v>
      </c>
      <c r="C64" s="7" t="s">
        <v>194</v>
      </c>
      <c r="D64" s="8" t="s">
        <v>18</v>
      </c>
      <c r="E64" s="8">
        <v>35</v>
      </c>
      <c r="F64" s="30">
        <v>17500</v>
      </c>
    </row>
    <row r="65" spans="2:6" x14ac:dyDescent="0.4">
      <c r="B65" s="31">
        <v>45201</v>
      </c>
      <c r="C65" s="7" t="s">
        <v>120</v>
      </c>
      <c r="D65" s="8" t="s">
        <v>17</v>
      </c>
      <c r="E65" s="8">
        <v>24</v>
      </c>
      <c r="F65" s="30">
        <v>12000</v>
      </c>
    </row>
    <row r="66" spans="2:6" x14ac:dyDescent="0.4">
      <c r="B66" s="31">
        <v>45202</v>
      </c>
      <c r="C66" s="7" t="s">
        <v>193</v>
      </c>
      <c r="D66" s="8" t="s">
        <v>18</v>
      </c>
      <c r="E66" s="8">
        <v>18</v>
      </c>
      <c r="F66" s="30">
        <v>9000</v>
      </c>
    </row>
    <row r="67" spans="2:6" x14ac:dyDescent="0.4">
      <c r="B67" s="31">
        <v>45203</v>
      </c>
      <c r="C67" s="7" t="s">
        <v>119</v>
      </c>
      <c r="D67" s="8" t="s">
        <v>17</v>
      </c>
      <c r="E67" s="8">
        <v>26</v>
      </c>
      <c r="F67" s="30">
        <v>13000</v>
      </c>
    </row>
    <row r="68" spans="2:6" x14ac:dyDescent="0.4">
      <c r="B68" s="31">
        <v>45204</v>
      </c>
      <c r="C68" s="7" t="s">
        <v>122</v>
      </c>
      <c r="D68" s="8" t="s">
        <v>18</v>
      </c>
      <c r="E68" s="8">
        <v>16</v>
      </c>
      <c r="F68" s="30">
        <v>8000</v>
      </c>
    </row>
    <row r="69" spans="2:6" x14ac:dyDescent="0.4">
      <c r="B69" s="31">
        <v>45205</v>
      </c>
      <c r="C69" s="7" t="s">
        <v>195</v>
      </c>
      <c r="D69" s="8" t="s">
        <v>17</v>
      </c>
      <c r="E69" s="8">
        <v>31</v>
      </c>
      <c r="F69" s="30">
        <v>15500</v>
      </c>
    </row>
    <row r="70" spans="2:6" x14ac:dyDescent="0.4">
      <c r="B70" s="31">
        <v>45206</v>
      </c>
      <c r="C70" s="7" t="s">
        <v>196</v>
      </c>
      <c r="D70" s="8" t="s">
        <v>18</v>
      </c>
      <c r="E70" s="8">
        <v>21</v>
      </c>
      <c r="F70" s="30">
        <v>10500</v>
      </c>
    </row>
    <row r="71" spans="2:6" x14ac:dyDescent="0.4">
      <c r="B71" s="31">
        <v>45207</v>
      </c>
      <c r="C71" s="7" t="s">
        <v>198</v>
      </c>
      <c r="D71" s="8" t="s">
        <v>17</v>
      </c>
      <c r="E71" s="8">
        <v>14</v>
      </c>
      <c r="F71" s="30">
        <v>7000</v>
      </c>
    </row>
    <row r="72" spans="2:6" x14ac:dyDescent="0.4">
      <c r="B72" s="31">
        <v>45208</v>
      </c>
      <c r="C72" s="7" t="s">
        <v>123</v>
      </c>
      <c r="D72" s="8" t="s">
        <v>18</v>
      </c>
      <c r="E72" s="8">
        <v>19</v>
      </c>
      <c r="F72" s="30">
        <v>9500</v>
      </c>
    </row>
    <row r="73" spans="2:6" x14ac:dyDescent="0.4">
      <c r="B73" s="31">
        <v>45209</v>
      </c>
      <c r="C73" s="7" t="s">
        <v>204</v>
      </c>
      <c r="D73" s="8" t="s">
        <v>17</v>
      </c>
      <c r="E73" s="8">
        <v>27</v>
      </c>
      <c r="F73" s="30">
        <v>13500</v>
      </c>
    </row>
    <row r="74" spans="2:6" x14ac:dyDescent="0.4">
      <c r="B74" s="31">
        <v>45210</v>
      </c>
      <c r="C74" s="7" t="s">
        <v>200</v>
      </c>
      <c r="D74" s="8" t="s">
        <v>18</v>
      </c>
      <c r="E74" s="8">
        <v>23</v>
      </c>
      <c r="F74" s="30">
        <v>11500</v>
      </c>
    </row>
    <row r="75" spans="2:6" x14ac:dyDescent="0.4">
      <c r="B75" s="31">
        <v>45211</v>
      </c>
      <c r="C75" s="7" t="s">
        <v>202</v>
      </c>
      <c r="D75" s="8" t="s">
        <v>17</v>
      </c>
      <c r="E75" s="8">
        <v>17</v>
      </c>
      <c r="F75" s="30">
        <v>8500</v>
      </c>
    </row>
    <row r="76" spans="2:6" x14ac:dyDescent="0.4">
      <c r="B76" s="31">
        <v>45212</v>
      </c>
      <c r="C76" s="7" t="s">
        <v>205</v>
      </c>
      <c r="D76" s="8" t="s">
        <v>18</v>
      </c>
      <c r="E76" s="8">
        <v>29</v>
      </c>
      <c r="F76" s="30">
        <v>14500</v>
      </c>
    </row>
    <row r="77" spans="2:6" x14ac:dyDescent="0.4">
      <c r="B77" s="31">
        <v>45213</v>
      </c>
      <c r="C77" s="7" t="s">
        <v>201</v>
      </c>
      <c r="D77" s="8" t="s">
        <v>17</v>
      </c>
      <c r="E77" s="8">
        <v>13</v>
      </c>
      <c r="F77" s="30">
        <v>6500</v>
      </c>
    </row>
    <row r="78" spans="2:6" x14ac:dyDescent="0.4">
      <c r="B78" s="31">
        <v>45214</v>
      </c>
      <c r="C78" s="7" t="s">
        <v>203</v>
      </c>
      <c r="D78" s="8" t="s">
        <v>18</v>
      </c>
      <c r="E78" s="8">
        <v>9</v>
      </c>
      <c r="F78" s="30">
        <v>4500</v>
      </c>
    </row>
    <row r="79" spans="2:6" x14ac:dyDescent="0.4">
      <c r="B79" s="31">
        <v>45215</v>
      </c>
      <c r="C79" s="7" t="s">
        <v>199</v>
      </c>
      <c r="D79" s="8" t="s">
        <v>17</v>
      </c>
      <c r="E79" s="8">
        <v>32</v>
      </c>
      <c r="F79" s="30">
        <v>16000</v>
      </c>
    </row>
    <row r="80" spans="2:6" x14ac:dyDescent="0.4">
      <c r="B80" s="31">
        <v>45216</v>
      </c>
      <c r="C80" s="7" t="s">
        <v>194</v>
      </c>
      <c r="D80" s="8" t="s">
        <v>18</v>
      </c>
      <c r="E80" s="8">
        <v>11</v>
      </c>
      <c r="F80" s="30">
        <v>5500</v>
      </c>
    </row>
    <row r="81" spans="2:6" x14ac:dyDescent="0.4">
      <c r="B81" s="31">
        <v>45217</v>
      </c>
      <c r="C81" s="7" t="s">
        <v>120</v>
      </c>
      <c r="D81" s="8" t="s">
        <v>17</v>
      </c>
      <c r="E81" s="8">
        <v>20</v>
      </c>
      <c r="F81" s="30">
        <v>10000</v>
      </c>
    </row>
    <row r="82" spans="2:6" x14ac:dyDescent="0.4">
      <c r="B82" s="31">
        <v>45218</v>
      </c>
      <c r="C82" s="7" t="s">
        <v>193</v>
      </c>
      <c r="D82" s="8" t="s">
        <v>18</v>
      </c>
      <c r="E82" s="8">
        <v>25</v>
      </c>
      <c r="F82" s="30">
        <v>12500</v>
      </c>
    </row>
    <row r="83" spans="2:6" x14ac:dyDescent="0.4">
      <c r="B83" s="31">
        <v>45219</v>
      </c>
      <c r="C83" s="7" t="s">
        <v>122</v>
      </c>
      <c r="D83" s="8" t="s">
        <v>17</v>
      </c>
      <c r="E83" s="8">
        <v>15</v>
      </c>
      <c r="F83" s="30">
        <v>7500</v>
      </c>
    </row>
    <row r="84" spans="2:6" x14ac:dyDescent="0.4">
      <c r="B84" s="31">
        <v>45220</v>
      </c>
      <c r="C84" s="7" t="s">
        <v>197</v>
      </c>
      <c r="D84" s="8" t="s">
        <v>18</v>
      </c>
      <c r="E84" s="8">
        <v>30</v>
      </c>
      <c r="F84" s="30">
        <v>15000</v>
      </c>
    </row>
    <row r="85" spans="2:6" x14ac:dyDescent="0.4">
      <c r="B85" s="31">
        <v>45221</v>
      </c>
      <c r="C85" s="7" t="s">
        <v>195</v>
      </c>
      <c r="D85" s="8" t="s">
        <v>17</v>
      </c>
      <c r="E85" s="8">
        <v>18</v>
      </c>
      <c r="F85" s="30">
        <v>9000</v>
      </c>
    </row>
    <row r="86" spans="2:6" x14ac:dyDescent="0.4">
      <c r="B86" s="31">
        <v>45222</v>
      </c>
      <c r="C86" s="7" t="s">
        <v>198</v>
      </c>
      <c r="D86" s="8" t="s">
        <v>18</v>
      </c>
      <c r="E86" s="8">
        <v>22</v>
      </c>
      <c r="F86" s="30">
        <v>11000</v>
      </c>
    </row>
    <row r="87" spans="2:6" x14ac:dyDescent="0.4">
      <c r="B87" s="31">
        <v>45223</v>
      </c>
      <c r="C87" s="7" t="s">
        <v>196</v>
      </c>
      <c r="D87" s="8" t="s">
        <v>17</v>
      </c>
      <c r="E87" s="8">
        <v>28</v>
      </c>
      <c r="F87" s="30">
        <v>14000</v>
      </c>
    </row>
    <row r="88" spans="2:6" x14ac:dyDescent="0.4">
      <c r="B88" s="31">
        <v>45224</v>
      </c>
      <c r="C88" s="7" t="s">
        <v>119</v>
      </c>
      <c r="D88" s="8" t="s">
        <v>18</v>
      </c>
      <c r="E88" s="8">
        <v>10</v>
      </c>
      <c r="F88" s="30">
        <v>5000</v>
      </c>
    </row>
    <row r="89" spans="2:6" x14ac:dyDescent="0.4">
      <c r="B89" s="31">
        <v>45225</v>
      </c>
      <c r="C89" s="7" t="s">
        <v>123</v>
      </c>
      <c r="D89" s="8" t="s">
        <v>17</v>
      </c>
      <c r="E89" s="8">
        <v>12</v>
      </c>
      <c r="F89" s="30">
        <v>6000</v>
      </c>
    </row>
    <row r="90" spans="2:6" x14ac:dyDescent="0.4">
      <c r="B90" s="31">
        <v>45226</v>
      </c>
      <c r="C90" s="7" t="s">
        <v>201</v>
      </c>
      <c r="D90" s="8" t="s">
        <v>18</v>
      </c>
      <c r="E90" s="8">
        <v>35</v>
      </c>
      <c r="F90" s="30">
        <v>17500</v>
      </c>
    </row>
    <row r="91" spans="2:6" x14ac:dyDescent="0.4">
      <c r="B91" s="31">
        <v>45227</v>
      </c>
      <c r="C91" s="7" t="s">
        <v>195</v>
      </c>
      <c r="D91" s="8" t="s">
        <v>17</v>
      </c>
      <c r="E91" s="8">
        <v>24</v>
      </c>
      <c r="F91" s="30">
        <v>12000</v>
      </c>
    </row>
    <row r="92" spans="2:6" x14ac:dyDescent="0.4">
      <c r="B92" s="31">
        <v>45228</v>
      </c>
      <c r="C92" s="7" t="s">
        <v>200</v>
      </c>
      <c r="D92" s="8" t="s">
        <v>18</v>
      </c>
      <c r="E92" s="8">
        <v>18</v>
      </c>
      <c r="F92" s="30">
        <v>9000</v>
      </c>
    </row>
    <row r="93" spans="2:6" x14ac:dyDescent="0.4">
      <c r="B93" s="31">
        <v>45229</v>
      </c>
      <c r="C93" s="7" t="s">
        <v>202</v>
      </c>
      <c r="D93" s="8" t="s">
        <v>17</v>
      </c>
      <c r="E93" s="8">
        <v>26</v>
      </c>
      <c r="F93" s="30">
        <v>13000</v>
      </c>
    </row>
    <row r="94" spans="2:6" x14ac:dyDescent="0.4">
      <c r="B94" s="31">
        <v>45230</v>
      </c>
      <c r="C94" s="7" t="s">
        <v>203</v>
      </c>
      <c r="D94" s="8" t="s">
        <v>18</v>
      </c>
      <c r="E94" s="8">
        <v>16</v>
      </c>
      <c r="F94" s="30">
        <v>8000</v>
      </c>
    </row>
  </sheetData>
  <mergeCells count="2">
    <mergeCell ref="H3:H4"/>
    <mergeCell ref="B1:F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6017" r:id="rId3" name="Check Box 1">
              <controlPr defaultSize="0" autoFill="0" autoLine="0" autoPict="0" altText="">
                <anchor moveWithCells="1">
                  <from>
                    <xdr:col>4</xdr:col>
                    <xdr:colOff>236220</xdr:colOff>
                    <xdr:row>0</xdr:row>
                    <xdr:rowOff>0</xdr:rowOff>
                  </from>
                  <to>
                    <xdr:col>4</xdr:col>
                    <xdr:colOff>533400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58A4-C78E-4C5C-8C74-3234D4E8A722}">
  <sheetPr>
    <tabColor theme="1"/>
  </sheetPr>
  <dimension ref="B1:E3"/>
  <sheetViews>
    <sheetView zoomScale="250" zoomScaleNormal="250" workbookViewId="0">
      <selection activeCell="B1" sqref="B1:E1"/>
    </sheetView>
  </sheetViews>
  <sheetFormatPr defaultRowHeight="16.8" x14ac:dyDescent="0.4"/>
  <cols>
    <col min="1" max="1" width="0.8984375" customWidth="1"/>
    <col min="2" max="2" width="8.59765625" customWidth="1"/>
    <col min="3" max="4" width="8.3984375" customWidth="1"/>
    <col min="5" max="5" width="12" customWidth="1"/>
  </cols>
  <sheetData>
    <row r="1" spans="2:5" ht="21.75" customHeight="1" x14ac:dyDescent="0.4">
      <c r="B1" s="144" t="s">
        <v>61</v>
      </c>
      <c r="C1" s="144"/>
      <c r="D1" s="144"/>
      <c r="E1" s="144"/>
    </row>
    <row r="2" spans="2:5" x14ac:dyDescent="0.4">
      <c r="B2" s="77" t="s">
        <v>5</v>
      </c>
      <c r="C2" s="77" t="s">
        <v>6</v>
      </c>
      <c r="D2" s="77" t="s">
        <v>7</v>
      </c>
      <c r="E2" s="15" t="s">
        <v>21</v>
      </c>
    </row>
    <row r="3" spans="2:5" x14ac:dyDescent="0.4">
      <c r="B3" s="7" t="s">
        <v>9</v>
      </c>
      <c r="C3" s="8">
        <v>10</v>
      </c>
      <c r="D3" s="8">
        <v>20</v>
      </c>
      <c r="E3" s="8"/>
    </row>
  </sheetData>
  <mergeCells count="1">
    <mergeCell ref="B1:E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4" r:id="rId3" name="Check Box 4">
              <controlPr defaultSize="0" autoFill="0" autoLine="0" autoPict="0" altText="">
                <anchor moveWithCells="1">
                  <from>
                    <xdr:col>4</xdr:col>
                    <xdr:colOff>464820</xdr:colOff>
                    <xdr:row>0</xdr:row>
                    <xdr:rowOff>38100</xdr:rowOff>
                  </from>
                  <to>
                    <xdr:col>4</xdr:col>
                    <xdr:colOff>769620</xdr:colOff>
                    <xdr:row>0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7C0B-7F68-4A76-9EF7-606B8ADE1FCA}">
  <sheetPr>
    <tabColor theme="0"/>
  </sheetPr>
  <dimension ref="B1:J11"/>
  <sheetViews>
    <sheetView zoomScale="145" zoomScaleNormal="145" workbookViewId="0">
      <selection activeCell="B1" sqref="B1:H1"/>
    </sheetView>
  </sheetViews>
  <sheetFormatPr defaultRowHeight="16.8" x14ac:dyDescent="0.4"/>
  <cols>
    <col min="1" max="1" width="2" customWidth="1"/>
    <col min="2" max="2" width="12.19921875" customWidth="1"/>
    <col min="8" max="8" width="12.59765625" customWidth="1"/>
    <col min="9" max="9" width="1.59765625" customWidth="1"/>
    <col min="10" max="10" width="16.09765625" customWidth="1"/>
  </cols>
  <sheetData>
    <row r="1" spans="2:10" ht="19.5" customHeight="1" x14ac:dyDescent="0.4">
      <c r="B1" s="131" t="s">
        <v>129</v>
      </c>
      <c r="C1" s="131"/>
      <c r="D1" s="131"/>
      <c r="E1" s="131"/>
      <c r="F1" s="131"/>
      <c r="G1" s="131"/>
      <c r="H1" s="131"/>
    </row>
    <row r="2" spans="2:10" x14ac:dyDescent="0.4">
      <c r="B2" s="77" t="s">
        <v>5</v>
      </c>
      <c r="C2" s="77" t="s">
        <v>6</v>
      </c>
      <c r="D2" s="77" t="s">
        <v>7</v>
      </c>
      <c r="E2" s="77" t="s">
        <v>8</v>
      </c>
      <c r="F2" s="77" t="s">
        <v>113</v>
      </c>
      <c r="G2" s="77" t="s">
        <v>114</v>
      </c>
      <c r="H2" s="6" t="s">
        <v>21</v>
      </c>
      <c r="J2" s="83" t="s">
        <v>563</v>
      </c>
    </row>
    <row r="3" spans="2:10" x14ac:dyDescent="0.4">
      <c r="B3" s="7" t="s">
        <v>109</v>
      </c>
      <c r="C3" s="8">
        <v>72</v>
      </c>
      <c r="D3" s="8">
        <v>10</v>
      </c>
      <c r="E3" s="8">
        <v>22</v>
      </c>
      <c r="F3" s="8">
        <v>94</v>
      </c>
      <c r="G3" s="8">
        <v>50</v>
      </c>
      <c r="H3" s="11"/>
      <c r="J3" s="84"/>
    </row>
    <row r="4" spans="2:10" x14ac:dyDescent="0.4">
      <c r="B4" s="7" t="s">
        <v>117</v>
      </c>
      <c r="C4" s="8">
        <v>9</v>
      </c>
      <c r="D4" s="8">
        <v>10</v>
      </c>
      <c r="E4" s="8">
        <v>54</v>
      </c>
      <c r="F4" s="8">
        <v>64</v>
      </c>
      <c r="G4" s="8">
        <v>68</v>
      </c>
      <c r="H4" s="11"/>
      <c r="J4" s="68"/>
    </row>
    <row r="5" spans="2:10" x14ac:dyDescent="0.4">
      <c r="B5" s="7" t="s">
        <v>116</v>
      </c>
      <c r="C5" s="8">
        <v>56</v>
      </c>
      <c r="D5" s="8">
        <v>84</v>
      </c>
      <c r="E5" s="8">
        <v>44</v>
      </c>
      <c r="F5" s="8">
        <v>7</v>
      </c>
      <c r="G5" s="8">
        <v>37</v>
      </c>
      <c r="H5" s="11"/>
    </row>
    <row r="6" spans="2:10" x14ac:dyDescent="0.4">
      <c r="B6" s="7" t="s">
        <v>73</v>
      </c>
      <c r="C6" s="8">
        <v>85</v>
      </c>
      <c r="D6" s="8">
        <v>22</v>
      </c>
      <c r="E6" s="8">
        <v>15</v>
      </c>
      <c r="F6" s="8">
        <v>75</v>
      </c>
      <c r="G6" s="8">
        <v>15</v>
      </c>
      <c r="H6" s="11"/>
    </row>
    <row r="7" spans="2:10" x14ac:dyDescent="0.4">
      <c r="B7" s="7" t="s">
        <v>9</v>
      </c>
      <c r="C7" s="8">
        <v>42</v>
      </c>
      <c r="D7" s="8">
        <v>57</v>
      </c>
      <c r="E7" s="8">
        <v>14</v>
      </c>
      <c r="F7" s="8">
        <v>27</v>
      </c>
      <c r="G7" s="8">
        <v>1</v>
      </c>
      <c r="H7" s="11"/>
    </row>
    <row r="8" spans="2:10" x14ac:dyDescent="0.4">
      <c r="B8" s="7" t="s">
        <v>111</v>
      </c>
      <c r="C8" s="8">
        <v>9</v>
      </c>
      <c r="D8" s="8">
        <v>7</v>
      </c>
      <c r="E8" s="8">
        <v>65</v>
      </c>
      <c r="F8" s="8">
        <v>37</v>
      </c>
      <c r="G8" s="8">
        <v>84</v>
      </c>
      <c r="H8" s="11"/>
    </row>
    <row r="9" spans="2:10" x14ac:dyDescent="0.4">
      <c r="B9" s="7" t="s">
        <v>112</v>
      </c>
      <c r="C9" s="8">
        <v>48</v>
      </c>
      <c r="D9" s="8">
        <v>32</v>
      </c>
      <c r="E9" s="8">
        <v>33</v>
      </c>
      <c r="F9" s="8">
        <v>75</v>
      </c>
      <c r="G9" s="8">
        <v>42</v>
      </c>
      <c r="H9" s="11"/>
    </row>
    <row r="10" spans="2:10" x14ac:dyDescent="0.4">
      <c r="B10" s="7" t="s">
        <v>91</v>
      </c>
      <c r="C10" s="8">
        <v>70</v>
      </c>
      <c r="D10" s="8">
        <v>86</v>
      </c>
      <c r="E10" s="8">
        <v>37</v>
      </c>
      <c r="F10" s="8">
        <v>62</v>
      </c>
      <c r="G10" s="8">
        <v>77</v>
      </c>
      <c r="H10" s="11"/>
    </row>
    <row r="11" spans="2:10" x14ac:dyDescent="0.4">
      <c r="B11" s="7" t="s">
        <v>110</v>
      </c>
      <c r="C11" s="8">
        <v>57</v>
      </c>
      <c r="D11" s="8">
        <v>18</v>
      </c>
      <c r="E11" s="8">
        <v>10</v>
      </c>
      <c r="F11" s="8">
        <v>59</v>
      </c>
      <c r="G11" s="8">
        <v>35</v>
      </c>
      <c r="H11" s="11"/>
    </row>
  </sheetData>
  <mergeCells count="2">
    <mergeCell ref="B1:H1"/>
    <mergeCell ref="J2:J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513" r:id="rId3" name="Check Box 1">
              <controlPr defaultSize="0" autoFill="0" autoLine="0" autoPict="0">
                <anchor moveWithCells="1">
                  <from>
                    <xdr:col>5</xdr:col>
                    <xdr:colOff>594360</xdr:colOff>
                    <xdr:row>0</xdr:row>
                    <xdr:rowOff>22860</xdr:rowOff>
                  </from>
                  <to>
                    <xdr:col>6</xdr:col>
                    <xdr:colOff>137160</xdr:colOff>
                    <xdr:row>0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4EBF-E405-4ED7-8B4E-55A91867AF77}">
  <sheetPr>
    <tabColor theme="1"/>
  </sheetPr>
  <dimension ref="B1:F8"/>
  <sheetViews>
    <sheetView tabSelected="1" zoomScale="190" zoomScaleNormal="190" workbookViewId="0">
      <selection activeCell="B1" sqref="B1:F1"/>
    </sheetView>
  </sheetViews>
  <sheetFormatPr defaultRowHeight="16.8" x14ac:dyDescent="0.4"/>
  <cols>
    <col min="1" max="1" width="2.19921875" customWidth="1"/>
    <col min="2" max="2" width="9.296875" customWidth="1"/>
    <col min="3" max="3" width="10.296875" customWidth="1"/>
    <col min="4" max="4" width="9.3984375" customWidth="1"/>
    <col min="5" max="5" width="2.59765625" customWidth="1"/>
    <col min="6" max="6" width="26.796875" customWidth="1"/>
  </cols>
  <sheetData>
    <row r="1" spans="2:6" ht="26.25" customHeight="1" x14ac:dyDescent="0.4">
      <c r="B1" s="142" t="s">
        <v>63</v>
      </c>
      <c r="C1" s="142"/>
      <c r="D1" s="142"/>
      <c r="E1" s="142"/>
      <c r="F1" s="142"/>
    </row>
    <row r="2" spans="2:6" x14ac:dyDescent="0.4">
      <c r="B2" s="77" t="s">
        <v>5</v>
      </c>
      <c r="C2" s="77" t="s">
        <v>118</v>
      </c>
      <c r="D2" s="77" t="s">
        <v>13</v>
      </c>
      <c r="F2" s="81" t="s">
        <v>805</v>
      </c>
    </row>
    <row r="3" spans="2:6" x14ac:dyDescent="0.4">
      <c r="B3" s="7" t="s">
        <v>122</v>
      </c>
      <c r="C3" s="8" t="s">
        <v>17</v>
      </c>
      <c r="D3" s="8">
        <v>100</v>
      </c>
      <c r="F3" s="82"/>
    </row>
    <row r="4" spans="2:6" x14ac:dyDescent="0.4">
      <c r="B4" s="7" t="s">
        <v>122</v>
      </c>
      <c r="C4" s="8" t="s">
        <v>18</v>
      </c>
      <c r="D4" s="8">
        <v>50</v>
      </c>
      <c r="F4" s="69"/>
    </row>
    <row r="5" spans="2:6" x14ac:dyDescent="0.4">
      <c r="B5" s="7" t="s">
        <v>121</v>
      </c>
      <c r="C5" s="8" t="s">
        <v>17</v>
      </c>
      <c r="D5" s="8">
        <v>90</v>
      </c>
    </row>
    <row r="6" spans="2:6" x14ac:dyDescent="0.4">
      <c r="B6" s="7" t="s">
        <v>120</v>
      </c>
      <c r="C6" s="8" t="s">
        <v>18</v>
      </c>
      <c r="D6" s="8">
        <v>85</v>
      </c>
    </row>
    <row r="7" spans="2:6" x14ac:dyDescent="0.4">
      <c r="B7" s="7" t="s">
        <v>123</v>
      </c>
      <c r="C7" s="8" t="s">
        <v>18</v>
      </c>
      <c r="D7" s="8">
        <v>50</v>
      </c>
    </row>
    <row r="8" spans="2:6" x14ac:dyDescent="0.4">
      <c r="B8" s="7" t="s">
        <v>119</v>
      </c>
      <c r="C8" s="8" t="s">
        <v>17</v>
      </c>
      <c r="D8" s="8">
        <v>75</v>
      </c>
    </row>
  </sheetData>
  <mergeCells count="2">
    <mergeCell ref="B1:F1"/>
    <mergeCell ref="F2:F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8" r:id="rId4" name="Check Box 4">
              <controlPr defaultSize="0" autoFill="0" autoLine="0" autoPict="0" altText="">
                <anchor moveWithCells="1">
                  <from>
                    <xdr:col>5</xdr:col>
                    <xdr:colOff>1409700</xdr:colOff>
                    <xdr:row>0</xdr:row>
                    <xdr:rowOff>60960</xdr:rowOff>
                  </from>
                  <to>
                    <xdr:col>5</xdr:col>
                    <xdr:colOff>1714500</xdr:colOff>
                    <xdr:row>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3303-244E-48FC-B83A-81142AE2B5C4}">
  <sheetPr>
    <tabColor theme="0"/>
  </sheetPr>
  <dimension ref="B1:H94"/>
  <sheetViews>
    <sheetView workbookViewId="0">
      <selection activeCell="B2" sqref="B2:F2"/>
    </sheetView>
  </sheetViews>
  <sheetFormatPr defaultRowHeight="16.8" x14ac:dyDescent="0.4"/>
  <cols>
    <col min="2" max="2" width="11.3984375" style="4" customWidth="1"/>
    <col min="3" max="4" width="13.69921875" customWidth="1"/>
    <col min="5" max="5" width="11.59765625" style="4" customWidth="1"/>
    <col min="6" max="6" width="16.19921875" customWidth="1"/>
    <col min="7" max="7" width="5.69921875" customWidth="1"/>
    <col min="8" max="8" width="21.3984375" customWidth="1"/>
    <col min="9" max="9" width="11" customWidth="1"/>
  </cols>
  <sheetData>
    <row r="1" spans="2:8" ht="24.75" customHeight="1" x14ac:dyDescent="0.4">
      <c r="B1" s="79" t="s">
        <v>129</v>
      </c>
      <c r="C1" s="79"/>
      <c r="D1" s="79"/>
      <c r="E1" s="79"/>
      <c r="F1" s="79"/>
    </row>
    <row r="2" spans="2:8" x14ac:dyDescent="0.4">
      <c r="B2" s="77" t="s">
        <v>208</v>
      </c>
      <c r="C2" s="77" t="s">
        <v>209</v>
      </c>
      <c r="D2" s="77" t="s">
        <v>118</v>
      </c>
      <c r="E2" s="77" t="s">
        <v>210</v>
      </c>
      <c r="F2" s="77" t="s">
        <v>211</v>
      </c>
    </row>
    <row r="3" spans="2:8" x14ac:dyDescent="0.4">
      <c r="B3" s="31">
        <v>45139</v>
      </c>
      <c r="C3" s="7" t="s">
        <v>120</v>
      </c>
      <c r="D3" s="8" t="s">
        <v>17</v>
      </c>
      <c r="E3" s="8">
        <v>25</v>
      </c>
      <c r="F3" s="30">
        <v>12500</v>
      </c>
      <c r="H3" s="83" t="s">
        <v>806</v>
      </c>
    </row>
    <row r="4" spans="2:8" x14ac:dyDescent="0.4">
      <c r="B4" s="31">
        <v>45140</v>
      </c>
      <c r="C4" s="7" t="s">
        <v>193</v>
      </c>
      <c r="D4" s="8" t="s">
        <v>18</v>
      </c>
      <c r="E4" s="8">
        <v>15</v>
      </c>
      <c r="F4" s="30">
        <v>15000</v>
      </c>
      <c r="H4" s="84"/>
    </row>
    <row r="5" spans="2:8" x14ac:dyDescent="0.4">
      <c r="B5" s="31">
        <v>45141</v>
      </c>
      <c r="C5" s="7" t="s">
        <v>119</v>
      </c>
      <c r="D5" s="8" t="s">
        <v>214</v>
      </c>
      <c r="E5" s="8">
        <v>30</v>
      </c>
      <c r="F5" s="30">
        <v>9000</v>
      </c>
      <c r="H5" s="32"/>
    </row>
    <row r="6" spans="2:8" x14ac:dyDescent="0.4">
      <c r="B6" s="31">
        <v>45142</v>
      </c>
      <c r="C6" s="7" t="s">
        <v>194</v>
      </c>
      <c r="D6" s="8" t="s">
        <v>215</v>
      </c>
      <c r="E6" s="8">
        <v>20</v>
      </c>
      <c r="F6" s="30">
        <v>10000</v>
      </c>
    </row>
    <row r="7" spans="2:8" x14ac:dyDescent="0.4">
      <c r="B7" s="31">
        <v>45143</v>
      </c>
      <c r="C7" s="7" t="s">
        <v>122</v>
      </c>
      <c r="D7" s="8" t="s">
        <v>216</v>
      </c>
      <c r="E7" s="8">
        <v>18</v>
      </c>
      <c r="F7" s="30">
        <v>9000</v>
      </c>
      <c r="H7" s="83" t="s">
        <v>807</v>
      </c>
    </row>
    <row r="8" spans="2:8" x14ac:dyDescent="0.4">
      <c r="B8" s="31">
        <v>45144</v>
      </c>
      <c r="C8" s="7" t="s">
        <v>195</v>
      </c>
      <c r="D8" s="8" t="s">
        <v>217</v>
      </c>
      <c r="E8" s="8">
        <v>22</v>
      </c>
      <c r="F8" s="30">
        <v>11000</v>
      </c>
      <c r="H8" s="84"/>
    </row>
    <row r="9" spans="2:8" x14ac:dyDescent="0.4">
      <c r="B9" s="31">
        <v>45145</v>
      </c>
      <c r="C9" s="7" t="s">
        <v>196</v>
      </c>
      <c r="D9" s="8" t="s">
        <v>17</v>
      </c>
      <c r="E9" s="8">
        <v>28</v>
      </c>
      <c r="F9" s="30">
        <v>14000</v>
      </c>
      <c r="H9" s="32"/>
    </row>
    <row r="10" spans="2:8" ht="16.5" customHeight="1" x14ac:dyDescent="0.4">
      <c r="B10" s="31">
        <v>45146</v>
      </c>
      <c r="C10" s="7" t="s">
        <v>197</v>
      </c>
      <c r="D10" s="8" t="s">
        <v>18</v>
      </c>
      <c r="E10" s="8">
        <v>10</v>
      </c>
      <c r="F10" s="30">
        <v>5000</v>
      </c>
    </row>
    <row r="11" spans="2:8" x14ac:dyDescent="0.4">
      <c r="B11" s="31">
        <v>45147</v>
      </c>
      <c r="C11" s="7" t="s">
        <v>198</v>
      </c>
      <c r="D11" s="8" t="s">
        <v>214</v>
      </c>
      <c r="E11" s="8">
        <v>12</v>
      </c>
      <c r="F11" s="30">
        <v>6000</v>
      </c>
    </row>
    <row r="12" spans="2:8" x14ac:dyDescent="0.4">
      <c r="B12" s="31">
        <v>45148</v>
      </c>
      <c r="C12" s="7" t="s">
        <v>199</v>
      </c>
      <c r="D12" s="8" t="s">
        <v>215</v>
      </c>
      <c r="E12" s="8">
        <v>35</v>
      </c>
      <c r="F12" s="30">
        <v>17500</v>
      </c>
    </row>
    <row r="13" spans="2:8" x14ac:dyDescent="0.4">
      <c r="B13" s="31">
        <v>45149</v>
      </c>
      <c r="C13" s="7" t="s">
        <v>200</v>
      </c>
      <c r="D13" s="8" t="s">
        <v>216</v>
      </c>
      <c r="E13" s="8">
        <v>24</v>
      </c>
      <c r="F13" s="30">
        <v>12000</v>
      </c>
    </row>
    <row r="14" spans="2:8" x14ac:dyDescent="0.4">
      <c r="B14" s="31">
        <v>45150</v>
      </c>
      <c r="C14" s="7" t="s">
        <v>123</v>
      </c>
      <c r="D14" s="8" t="s">
        <v>217</v>
      </c>
      <c r="E14" s="8">
        <v>18</v>
      </c>
      <c r="F14" s="30">
        <v>9000</v>
      </c>
    </row>
    <row r="15" spans="2:8" x14ac:dyDescent="0.4">
      <c r="B15" s="31">
        <v>45151</v>
      </c>
      <c r="C15" s="7" t="s">
        <v>201</v>
      </c>
      <c r="D15" s="8" t="s">
        <v>17</v>
      </c>
      <c r="E15" s="8">
        <v>26</v>
      </c>
      <c r="F15" s="30">
        <v>13000</v>
      </c>
    </row>
    <row r="16" spans="2:8" x14ac:dyDescent="0.4">
      <c r="B16" s="31">
        <v>45152</v>
      </c>
      <c r="C16" s="7" t="s">
        <v>202</v>
      </c>
      <c r="D16" s="8" t="s">
        <v>18</v>
      </c>
      <c r="E16" s="8">
        <v>16</v>
      </c>
      <c r="F16" s="30">
        <v>8000</v>
      </c>
    </row>
    <row r="17" spans="2:6" x14ac:dyDescent="0.4">
      <c r="B17" s="31">
        <v>45153</v>
      </c>
      <c r="C17" s="7" t="s">
        <v>203</v>
      </c>
      <c r="D17" s="8" t="s">
        <v>214</v>
      </c>
      <c r="E17" s="8">
        <v>31</v>
      </c>
      <c r="F17" s="30">
        <v>15500</v>
      </c>
    </row>
    <row r="18" spans="2:6" x14ac:dyDescent="0.4">
      <c r="B18" s="31">
        <v>45154</v>
      </c>
      <c r="C18" s="7" t="s">
        <v>204</v>
      </c>
      <c r="D18" s="8" t="s">
        <v>215</v>
      </c>
      <c r="E18" s="8">
        <v>21</v>
      </c>
      <c r="F18" s="30">
        <v>10500</v>
      </c>
    </row>
    <row r="19" spans="2:6" x14ac:dyDescent="0.4">
      <c r="B19" s="31">
        <v>45155</v>
      </c>
      <c r="C19" s="7" t="s">
        <v>205</v>
      </c>
      <c r="D19" s="8" t="s">
        <v>216</v>
      </c>
      <c r="E19" s="8">
        <v>14</v>
      </c>
      <c r="F19" s="30">
        <v>7000</v>
      </c>
    </row>
    <row r="20" spans="2:6" x14ac:dyDescent="0.4">
      <c r="B20" s="31">
        <v>45156</v>
      </c>
      <c r="C20" s="7" t="s">
        <v>206</v>
      </c>
      <c r="D20" s="8" t="s">
        <v>217</v>
      </c>
      <c r="E20" s="8">
        <v>19</v>
      </c>
      <c r="F20" s="30">
        <v>9500</v>
      </c>
    </row>
    <row r="21" spans="2:6" x14ac:dyDescent="0.4">
      <c r="B21" s="31">
        <v>45157</v>
      </c>
      <c r="C21" s="7" t="s">
        <v>207</v>
      </c>
      <c r="D21" s="8" t="s">
        <v>17</v>
      </c>
      <c r="E21" s="8">
        <v>27</v>
      </c>
      <c r="F21" s="30">
        <v>13500</v>
      </c>
    </row>
    <row r="22" spans="2:6" x14ac:dyDescent="0.4">
      <c r="B22" s="31">
        <v>45158</v>
      </c>
      <c r="C22" s="7" t="s">
        <v>204</v>
      </c>
      <c r="D22" s="8" t="s">
        <v>18</v>
      </c>
      <c r="E22" s="8">
        <v>23</v>
      </c>
      <c r="F22" s="30">
        <v>11500</v>
      </c>
    </row>
    <row r="23" spans="2:6" x14ac:dyDescent="0.4">
      <c r="B23" s="31">
        <v>45159</v>
      </c>
      <c r="C23" s="7" t="s">
        <v>122</v>
      </c>
      <c r="D23" s="8" t="s">
        <v>214</v>
      </c>
      <c r="E23" s="8">
        <v>17</v>
      </c>
      <c r="F23" s="30">
        <v>8500</v>
      </c>
    </row>
    <row r="24" spans="2:6" x14ac:dyDescent="0.4">
      <c r="B24" s="31">
        <v>45160</v>
      </c>
      <c r="C24" s="7" t="s">
        <v>197</v>
      </c>
      <c r="D24" s="8" t="s">
        <v>215</v>
      </c>
      <c r="E24" s="8">
        <v>29</v>
      </c>
      <c r="F24" s="30">
        <v>14500</v>
      </c>
    </row>
    <row r="25" spans="2:6" x14ac:dyDescent="0.4">
      <c r="B25" s="31">
        <v>45161</v>
      </c>
      <c r="C25" s="7" t="s">
        <v>196</v>
      </c>
      <c r="D25" s="8" t="s">
        <v>216</v>
      </c>
      <c r="E25" s="8">
        <v>13</v>
      </c>
      <c r="F25" s="30">
        <v>6500</v>
      </c>
    </row>
    <row r="26" spans="2:6" x14ac:dyDescent="0.4">
      <c r="B26" s="31">
        <v>45162</v>
      </c>
      <c r="C26" s="7" t="s">
        <v>119</v>
      </c>
      <c r="D26" s="8" t="s">
        <v>217</v>
      </c>
      <c r="E26" s="8">
        <v>9</v>
      </c>
      <c r="F26" s="30">
        <v>4500</v>
      </c>
    </row>
    <row r="27" spans="2:6" x14ac:dyDescent="0.4">
      <c r="B27" s="31">
        <v>45163</v>
      </c>
      <c r="C27" s="7" t="s">
        <v>120</v>
      </c>
      <c r="D27" s="8" t="s">
        <v>17</v>
      </c>
      <c r="E27" s="8">
        <v>32</v>
      </c>
      <c r="F27" s="30">
        <v>16000</v>
      </c>
    </row>
    <row r="28" spans="2:6" x14ac:dyDescent="0.4">
      <c r="B28" s="31">
        <v>45164</v>
      </c>
      <c r="C28" s="7" t="s">
        <v>199</v>
      </c>
      <c r="D28" s="8" t="s">
        <v>18</v>
      </c>
      <c r="E28" s="8">
        <v>11</v>
      </c>
      <c r="F28" s="30">
        <v>5500</v>
      </c>
    </row>
    <row r="29" spans="2:6" x14ac:dyDescent="0.4">
      <c r="B29" s="31">
        <v>45165</v>
      </c>
      <c r="C29" s="7" t="s">
        <v>193</v>
      </c>
      <c r="D29" s="8" t="s">
        <v>214</v>
      </c>
      <c r="E29" s="8">
        <v>20</v>
      </c>
      <c r="F29" s="30">
        <v>10000</v>
      </c>
    </row>
    <row r="30" spans="2:6" x14ac:dyDescent="0.4">
      <c r="B30" s="31">
        <v>45166</v>
      </c>
      <c r="C30" s="7" t="s">
        <v>194</v>
      </c>
      <c r="D30" s="8" t="s">
        <v>215</v>
      </c>
      <c r="E30" s="8">
        <v>25</v>
      </c>
      <c r="F30" s="30">
        <v>12500</v>
      </c>
    </row>
    <row r="31" spans="2:6" x14ac:dyDescent="0.4">
      <c r="B31" s="31">
        <v>45167</v>
      </c>
      <c r="C31" s="7" t="s">
        <v>123</v>
      </c>
      <c r="D31" s="8" t="s">
        <v>216</v>
      </c>
      <c r="E31" s="8">
        <v>15</v>
      </c>
      <c r="F31" s="30">
        <v>7500</v>
      </c>
    </row>
    <row r="32" spans="2:6" x14ac:dyDescent="0.4">
      <c r="B32" s="31">
        <v>45168</v>
      </c>
      <c r="C32" s="7" t="s">
        <v>201</v>
      </c>
      <c r="D32" s="8" t="s">
        <v>217</v>
      </c>
      <c r="E32" s="8">
        <v>30</v>
      </c>
      <c r="F32" s="30">
        <v>15000</v>
      </c>
    </row>
    <row r="33" spans="2:6" x14ac:dyDescent="0.4">
      <c r="B33" s="31">
        <v>45169</v>
      </c>
      <c r="C33" s="7" t="s">
        <v>195</v>
      </c>
      <c r="D33" s="8" t="s">
        <v>17</v>
      </c>
      <c r="E33" s="8">
        <v>18</v>
      </c>
      <c r="F33" s="30">
        <v>9000</v>
      </c>
    </row>
    <row r="34" spans="2:6" x14ac:dyDescent="0.4">
      <c r="B34" s="31">
        <v>45170</v>
      </c>
      <c r="C34" s="7" t="s">
        <v>198</v>
      </c>
      <c r="D34" s="8" t="s">
        <v>18</v>
      </c>
      <c r="E34" s="8">
        <v>22</v>
      </c>
      <c r="F34" s="30">
        <v>11000</v>
      </c>
    </row>
    <row r="35" spans="2:6" x14ac:dyDescent="0.4">
      <c r="B35" s="31">
        <v>45171</v>
      </c>
      <c r="C35" s="7" t="s">
        <v>200</v>
      </c>
      <c r="D35" s="8" t="s">
        <v>214</v>
      </c>
      <c r="E35" s="8">
        <v>28</v>
      </c>
      <c r="F35" s="30">
        <v>14000</v>
      </c>
    </row>
    <row r="36" spans="2:6" x14ac:dyDescent="0.4">
      <c r="B36" s="31">
        <v>45172</v>
      </c>
      <c r="C36" s="7" t="s">
        <v>202</v>
      </c>
      <c r="D36" s="8" t="s">
        <v>215</v>
      </c>
      <c r="E36" s="8">
        <v>10</v>
      </c>
      <c r="F36" s="30">
        <v>5000</v>
      </c>
    </row>
    <row r="37" spans="2:6" x14ac:dyDescent="0.4">
      <c r="B37" s="31">
        <v>45173</v>
      </c>
      <c r="C37" s="7" t="s">
        <v>203</v>
      </c>
      <c r="D37" s="8" t="s">
        <v>216</v>
      </c>
      <c r="E37" s="8">
        <v>12</v>
      </c>
      <c r="F37" s="30">
        <v>6000</v>
      </c>
    </row>
    <row r="38" spans="2:6" x14ac:dyDescent="0.4">
      <c r="B38" s="31">
        <v>45174</v>
      </c>
      <c r="C38" s="7" t="s">
        <v>206</v>
      </c>
      <c r="D38" s="8" t="s">
        <v>217</v>
      </c>
      <c r="E38" s="8">
        <v>35</v>
      </c>
      <c r="F38" s="30">
        <v>17500</v>
      </c>
    </row>
    <row r="39" spans="2:6" x14ac:dyDescent="0.4">
      <c r="B39" s="31">
        <v>45175</v>
      </c>
      <c r="C39" s="7" t="s">
        <v>205</v>
      </c>
      <c r="D39" s="8" t="s">
        <v>17</v>
      </c>
      <c r="E39" s="8">
        <v>24</v>
      </c>
      <c r="F39" s="30">
        <v>12000</v>
      </c>
    </row>
    <row r="40" spans="2:6" x14ac:dyDescent="0.4">
      <c r="B40" s="31">
        <v>45176</v>
      </c>
      <c r="C40" s="7" t="s">
        <v>204</v>
      </c>
      <c r="D40" s="8" t="s">
        <v>18</v>
      </c>
      <c r="E40" s="8">
        <v>18</v>
      </c>
      <c r="F40" s="30">
        <v>9000</v>
      </c>
    </row>
    <row r="41" spans="2:6" x14ac:dyDescent="0.4">
      <c r="B41" s="31">
        <v>45177</v>
      </c>
      <c r="C41" s="7" t="s">
        <v>122</v>
      </c>
      <c r="D41" s="8" t="s">
        <v>214</v>
      </c>
      <c r="E41" s="8">
        <v>26</v>
      </c>
      <c r="F41" s="30">
        <v>13000</v>
      </c>
    </row>
    <row r="42" spans="2:6" x14ac:dyDescent="0.4">
      <c r="B42" s="31">
        <v>45178</v>
      </c>
      <c r="C42" s="7" t="s">
        <v>197</v>
      </c>
      <c r="D42" s="8" t="s">
        <v>215</v>
      </c>
      <c r="E42" s="8">
        <v>16</v>
      </c>
      <c r="F42" s="30">
        <v>8000</v>
      </c>
    </row>
    <row r="43" spans="2:6" x14ac:dyDescent="0.4">
      <c r="B43" s="31">
        <v>45179</v>
      </c>
      <c r="C43" s="7" t="s">
        <v>119</v>
      </c>
      <c r="D43" s="8" t="s">
        <v>216</v>
      </c>
      <c r="E43" s="8">
        <v>31</v>
      </c>
      <c r="F43" s="30">
        <v>15500</v>
      </c>
    </row>
    <row r="44" spans="2:6" x14ac:dyDescent="0.4">
      <c r="B44" s="31">
        <v>45180</v>
      </c>
      <c r="C44" s="7" t="s">
        <v>193</v>
      </c>
      <c r="D44" s="8" t="s">
        <v>217</v>
      </c>
      <c r="E44" s="8">
        <v>21</v>
      </c>
      <c r="F44" s="30">
        <v>10500</v>
      </c>
    </row>
    <row r="45" spans="2:6" x14ac:dyDescent="0.4">
      <c r="B45" s="31">
        <v>45181</v>
      </c>
      <c r="C45" s="7" t="s">
        <v>123</v>
      </c>
      <c r="D45" s="8" t="s">
        <v>17</v>
      </c>
      <c r="E45" s="8">
        <v>14</v>
      </c>
      <c r="F45" s="30">
        <v>7000</v>
      </c>
    </row>
    <row r="46" spans="2:6" x14ac:dyDescent="0.4">
      <c r="B46" s="31">
        <v>45182</v>
      </c>
      <c r="C46" s="7" t="s">
        <v>196</v>
      </c>
      <c r="D46" s="8" t="s">
        <v>18</v>
      </c>
      <c r="E46" s="8">
        <v>19</v>
      </c>
      <c r="F46" s="30">
        <v>9500</v>
      </c>
    </row>
    <row r="47" spans="2:6" x14ac:dyDescent="0.4">
      <c r="B47" s="31">
        <v>45183</v>
      </c>
      <c r="C47" s="7" t="s">
        <v>120</v>
      </c>
      <c r="D47" s="8" t="s">
        <v>214</v>
      </c>
      <c r="E47" s="8">
        <v>27</v>
      </c>
      <c r="F47" s="30">
        <v>13500</v>
      </c>
    </row>
    <row r="48" spans="2:6" x14ac:dyDescent="0.4">
      <c r="B48" s="31">
        <v>45184</v>
      </c>
      <c r="C48" s="7" t="s">
        <v>199</v>
      </c>
      <c r="D48" s="8" t="s">
        <v>215</v>
      </c>
      <c r="E48" s="8">
        <v>23</v>
      </c>
      <c r="F48" s="30">
        <v>11500</v>
      </c>
    </row>
    <row r="49" spans="2:6" x14ac:dyDescent="0.4">
      <c r="B49" s="31">
        <v>45185</v>
      </c>
      <c r="C49" s="7" t="s">
        <v>194</v>
      </c>
      <c r="D49" s="8" t="s">
        <v>216</v>
      </c>
      <c r="E49" s="8">
        <v>17</v>
      </c>
      <c r="F49" s="30">
        <v>8500</v>
      </c>
    </row>
    <row r="50" spans="2:6" x14ac:dyDescent="0.4">
      <c r="B50" s="31">
        <v>45186</v>
      </c>
      <c r="C50" s="7" t="s">
        <v>201</v>
      </c>
      <c r="D50" s="8" t="s">
        <v>217</v>
      </c>
      <c r="E50" s="8">
        <v>29</v>
      </c>
      <c r="F50" s="30">
        <v>14500</v>
      </c>
    </row>
    <row r="51" spans="2:6" x14ac:dyDescent="0.4">
      <c r="B51" s="31">
        <v>45187</v>
      </c>
      <c r="C51" s="7" t="s">
        <v>195</v>
      </c>
      <c r="D51" s="8" t="s">
        <v>17</v>
      </c>
      <c r="E51" s="8">
        <v>13</v>
      </c>
      <c r="F51" s="30">
        <v>6500</v>
      </c>
    </row>
    <row r="52" spans="2:6" x14ac:dyDescent="0.4">
      <c r="B52" s="31">
        <v>45188</v>
      </c>
      <c r="C52" s="7" t="s">
        <v>198</v>
      </c>
      <c r="D52" s="8" t="s">
        <v>18</v>
      </c>
      <c r="E52" s="8">
        <v>9</v>
      </c>
      <c r="F52" s="30">
        <v>4500</v>
      </c>
    </row>
    <row r="53" spans="2:6" x14ac:dyDescent="0.4">
      <c r="B53" s="31">
        <v>45189</v>
      </c>
      <c r="C53" s="7" t="s">
        <v>204</v>
      </c>
      <c r="D53" s="8" t="s">
        <v>214</v>
      </c>
      <c r="E53" s="8">
        <v>32</v>
      </c>
      <c r="F53" s="30">
        <v>16000</v>
      </c>
    </row>
    <row r="54" spans="2:6" x14ac:dyDescent="0.4">
      <c r="B54" s="31">
        <v>45190</v>
      </c>
      <c r="C54" s="7" t="s">
        <v>119</v>
      </c>
      <c r="D54" s="8" t="s">
        <v>215</v>
      </c>
      <c r="E54" s="8">
        <v>11</v>
      </c>
      <c r="F54" s="30">
        <v>5500</v>
      </c>
    </row>
    <row r="55" spans="2:6" x14ac:dyDescent="0.4">
      <c r="B55" s="31">
        <v>45191</v>
      </c>
      <c r="C55" s="7" t="s">
        <v>122</v>
      </c>
      <c r="D55" s="8" t="s">
        <v>216</v>
      </c>
      <c r="E55" s="8">
        <v>20</v>
      </c>
      <c r="F55" s="30">
        <v>10000</v>
      </c>
    </row>
    <row r="56" spans="2:6" x14ac:dyDescent="0.4">
      <c r="B56" s="31">
        <v>45192</v>
      </c>
      <c r="C56" s="7" t="s">
        <v>197</v>
      </c>
      <c r="D56" s="8" t="s">
        <v>217</v>
      </c>
      <c r="E56" s="8">
        <v>25</v>
      </c>
      <c r="F56" s="30">
        <v>12500</v>
      </c>
    </row>
    <row r="57" spans="2:6" x14ac:dyDescent="0.4">
      <c r="B57" s="31">
        <v>45193</v>
      </c>
      <c r="C57" s="7" t="s">
        <v>123</v>
      </c>
      <c r="D57" s="8" t="s">
        <v>17</v>
      </c>
      <c r="E57" s="8">
        <v>15</v>
      </c>
      <c r="F57" s="30">
        <v>7500</v>
      </c>
    </row>
    <row r="58" spans="2:6" x14ac:dyDescent="0.4">
      <c r="B58" s="31">
        <v>45194</v>
      </c>
      <c r="C58" s="7" t="s">
        <v>201</v>
      </c>
      <c r="D58" s="8" t="s">
        <v>18</v>
      </c>
      <c r="E58" s="8">
        <v>30</v>
      </c>
      <c r="F58" s="30">
        <v>15000</v>
      </c>
    </row>
    <row r="59" spans="2:6" x14ac:dyDescent="0.4">
      <c r="B59" s="31">
        <v>45195</v>
      </c>
      <c r="C59" s="7" t="s">
        <v>195</v>
      </c>
      <c r="D59" s="8" t="s">
        <v>214</v>
      </c>
      <c r="E59" s="8">
        <v>18</v>
      </c>
      <c r="F59" s="30">
        <v>9000</v>
      </c>
    </row>
    <row r="60" spans="2:6" x14ac:dyDescent="0.4">
      <c r="B60" s="31">
        <v>45196</v>
      </c>
      <c r="C60" s="7" t="s">
        <v>200</v>
      </c>
      <c r="D60" s="8" t="s">
        <v>215</v>
      </c>
      <c r="E60" s="8">
        <v>22</v>
      </c>
      <c r="F60" s="30">
        <v>11000</v>
      </c>
    </row>
    <row r="61" spans="2:6" x14ac:dyDescent="0.4">
      <c r="B61" s="31">
        <v>45197</v>
      </c>
      <c r="C61" s="7" t="s">
        <v>202</v>
      </c>
      <c r="D61" s="8" t="s">
        <v>216</v>
      </c>
      <c r="E61" s="8">
        <v>28</v>
      </c>
      <c r="F61" s="30">
        <v>14000</v>
      </c>
    </row>
    <row r="62" spans="2:6" x14ac:dyDescent="0.4">
      <c r="B62" s="31">
        <v>45198</v>
      </c>
      <c r="C62" s="7" t="s">
        <v>203</v>
      </c>
      <c r="D62" s="8" t="s">
        <v>217</v>
      </c>
      <c r="E62" s="8">
        <v>10</v>
      </c>
      <c r="F62" s="30">
        <v>5000</v>
      </c>
    </row>
    <row r="63" spans="2:6" x14ac:dyDescent="0.4">
      <c r="B63" s="31">
        <v>45199</v>
      </c>
      <c r="C63" s="7" t="s">
        <v>199</v>
      </c>
      <c r="D63" s="8" t="s">
        <v>17</v>
      </c>
      <c r="E63" s="8">
        <v>12</v>
      </c>
      <c r="F63" s="30">
        <v>6000</v>
      </c>
    </row>
    <row r="64" spans="2:6" x14ac:dyDescent="0.4">
      <c r="B64" s="31">
        <v>45200</v>
      </c>
      <c r="C64" s="7" t="s">
        <v>194</v>
      </c>
      <c r="D64" s="8" t="s">
        <v>18</v>
      </c>
      <c r="E64" s="8">
        <v>35</v>
      </c>
      <c r="F64" s="30">
        <v>17500</v>
      </c>
    </row>
    <row r="65" spans="2:6" x14ac:dyDescent="0.4">
      <c r="B65" s="31">
        <v>45201</v>
      </c>
      <c r="C65" s="7" t="s">
        <v>120</v>
      </c>
      <c r="D65" s="8" t="s">
        <v>214</v>
      </c>
      <c r="E65" s="8">
        <v>24</v>
      </c>
      <c r="F65" s="30">
        <v>12000</v>
      </c>
    </row>
    <row r="66" spans="2:6" x14ac:dyDescent="0.4">
      <c r="B66" s="31">
        <v>45202</v>
      </c>
      <c r="C66" s="7" t="s">
        <v>193</v>
      </c>
      <c r="D66" s="8" t="s">
        <v>215</v>
      </c>
      <c r="E66" s="8">
        <v>18</v>
      </c>
      <c r="F66" s="30">
        <v>9000</v>
      </c>
    </row>
    <row r="67" spans="2:6" x14ac:dyDescent="0.4">
      <c r="B67" s="31">
        <v>45203</v>
      </c>
      <c r="C67" s="7" t="s">
        <v>119</v>
      </c>
      <c r="D67" s="8" t="s">
        <v>216</v>
      </c>
      <c r="E67" s="8">
        <v>26</v>
      </c>
      <c r="F67" s="30">
        <v>13000</v>
      </c>
    </row>
    <row r="68" spans="2:6" x14ac:dyDescent="0.4">
      <c r="B68" s="31">
        <v>45204</v>
      </c>
      <c r="C68" s="7" t="s">
        <v>122</v>
      </c>
      <c r="D68" s="8" t="s">
        <v>217</v>
      </c>
      <c r="E68" s="8">
        <v>16</v>
      </c>
      <c r="F68" s="30">
        <v>8000</v>
      </c>
    </row>
    <row r="69" spans="2:6" x14ac:dyDescent="0.4">
      <c r="B69" s="31">
        <v>45205</v>
      </c>
      <c r="C69" s="7" t="s">
        <v>195</v>
      </c>
      <c r="D69" s="8" t="s">
        <v>17</v>
      </c>
      <c r="E69" s="8">
        <v>31</v>
      </c>
      <c r="F69" s="30">
        <v>15500</v>
      </c>
    </row>
    <row r="70" spans="2:6" x14ac:dyDescent="0.4">
      <c r="B70" s="31">
        <v>45206</v>
      </c>
      <c r="C70" s="7" t="s">
        <v>196</v>
      </c>
      <c r="D70" s="8" t="s">
        <v>18</v>
      </c>
      <c r="E70" s="8">
        <v>21</v>
      </c>
      <c r="F70" s="30">
        <v>10500</v>
      </c>
    </row>
    <row r="71" spans="2:6" x14ac:dyDescent="0.4">
      <c r="B71" s="31">
        <v>45207</v>
      </c>
      <c r="C71" s="7" t="s">
        <v>198</v>
      </c>
      <c r="D71" s="8" t="s">
        <v>214</v>
      </c>
      <c r="E71" s="8">
        <v>14</v>
      </c>
      <c r="F71" s="30">
        <v>7000</v>
      </c>
    </row>
    <row r="72" spans="2:6" x14ac:dyDescent="0.4">
      <c r="B72" s="31">
        <v>45208</v>
      </c>
      <c r="C72" s="7" t="s">
        <v>123</v>
      </c>
      <c r="D72" s="8" t="s">
        <v>215</v>
      </c>
      <c r="E72" s="8">
        <v>19</v>
      </c>
      <c r="F72" s="30">
        <v>9500</v>
      </c>
    </row>
    <row r="73" spans="2:6" x14ac:dyDescent="0.4">
      <c r="B73" s="31">
        <v>45209</v>
      </c>
      <c r="C73" s="7" t="s">
        <v>204</v>
      </c>
      <c r="D73" s="8" t="s">
        <v>216</v>
      </c>
      <c r="E73" s="8">
        <v>27</v>
      </c>
      <c r="F73" s="30">
        <v>13500</v>
      </c>
    </row>
    <row r="74" spans="2:6" x14ac:dyDescent="0.4">
      <c r="B74" s="31">
        <v>45210</v>
      </c>
      <c r="C74" s="7" t="s">
        <v>200</v>
      </c>
      <c r="D74" s="8" t="s">
        <v>217</v>
      </c>
      <c r="E74" s="8">
        <v>23</v>
      </c>
      <c r="F74" s="30">
        <v>11500</v>
      </c>
    </row>
    <row r="75" spans="2:6" x14ac:dyDescent="0.4">
      <c r="B75" s="31">
        <v>45211</v>
      </c>
      <c r="C75" s="7" t="s">
        <v>202</v>
      </c>
      <c r="D75" s="8" t="s">
        <v>17</v>
      </c>
      <c r="E75" s="8">
        <v>17</v>
      </c>
      <c r="F75" s="30">
        <v>8500</v>
      </c>
    </row>
    <row r="76" spans="2:6" x14ac:dyDescent="0.4">
      <c r="B76" s="31">
        <v>45212</v>
      </c>
      <c r="C76" s="7" t="s">
        <v>205</v>
      </c>
      <c r="D76" s="8" t="s">
        <v>18</v>
      </c>
      <c r="E76" s="8">
        <v>29</v>
      </c>
      <c r="F76" s="30">
        <v>14500</v>
      </c>
    </row>
    <row r="77" spans="2:6" x14ac:dyDescent="0.4">
      <c r="B77" s="31">
        <v>45213</v>
      </c>
      <c r="C77" s="7" t="s">
        <v>201</v>
      </c>
      <c r="D77" s="8" t="s">
        <v>214</v>
      </c>
      <c r="E77" s="8">
        <v>13</v>
      </c>
      <c r="F77" s="30">
        <v>6500</v>
      </c>
    </row>
    <row r="78" spans="2:6" x14ac:dyDescent="0.4">
      <c r="B78" s="31">
        <v>45214</v>
      </c>
      <c r="C78" s="7" t="s">
        <v>203</v>
      </c>
      <c r="D78" s="8" t="s">
        <v>215</v>
      </c>
      <c r="E78" s="8">
        <v>9</v>
      </c>
      <c r="F78" s="30">
        <v>4500</v>
      </c>
    </row>
    <row r="79" spans="2:6" x14ac:dyDescent="0.4">
      <c r="B79" s="31">
        <v>45215</v>
      </c>
      <c r="C79" s="7" t="s">
        <v>199</v>
      </c>
      <c r="D79" s="8" t="s">
        <v>216</v>
      </c>
      <c r="E79" s="8">
        <v>32</v>
      </c>
      <c r="F79" s="30">
        <v>16000</v>
      </c>
    </row>
    <row r="80" spans="2:6" x14ac:dyDescent="0.4">
      <c r="B80" s="31">
        <v>45216</v>
      </c>
      <c r="C80" s="7" t="s">
        <v>194</v>
      </c>
      <c r="D80" s="8" t="s">
        <v>217</v>
      </c>
      <c r="E80" s="8">
        <v>11</v>
      </c>
      <c r="F80" s="30">
        <v>5500</v>
      </c>
    </row>
    <row r="81" spans="2:6" x14ac:dyDescent="0.4">
      <c r="B81" s="31">
        <v>45217</v>
      </c>
      <c r="C81" s="7" t="s">
        <v>120</v>
      </c>
      <c r="D81" s="8" t="s">
        <v>17</v>
      </c>
      <c r="E81" s="8">
        <v>20</v>
      </c>
      <c r="F81" s="30">
        <v>10000</v>
      </c>
    </row>
    <row r="82" spans="2:6" x14ac:dyDescent="0.4">
      <c r="B82" s="31">
        <v>45218</v>
      </c>
      <c r="C82" s="7" t="s">
        <v>193</v>
      </c>
      <c r="D82" s="8" t="s">
        <v>18</v>
      </c>
      <c r="E82" s="8">
        <v>25</v>
      </c>
      <c r="F82" s="30">
        <v>12500</v>
      </c>
    </row>
    <row r="83" spans="2:6" x14ac:dyDescent="0.4">
      <c r="B83" s="31">
        <v>45219</v>
      </c>
      <c r="C83" s="7" t="s">
        <v>122</v>
      </c>
      <c r="D83" s="8" t="s">
        <v>214</v>
      </c>
      <c r="E83" s="8">
        <v>15</v>
      </c>
      <c r="F83" s="30">
        <v>7500</v>
      </c>
    </row>
    <row r="84" spans="2:6" x14ac:dyDescent="0.4">
      <c r="B84" s="31">
        <v>45220</v>
      </c>
      <c r="C84" s="7" t="s">
        <v>197</v>
      </c>
      <c r="D84" s="8" t="s">
        <v>215</v>
      </c>
      <c r="E84" s="8">
        <v>30</v>
      </c>
      <c r="F84" s="30">
        <v>15000</v>
      </c>
    </row>
    <row r="85" spans="2:6" x14ac:dyDescent="0.4">
      <c r="B85" s="31">
        <v>45221</v>
      </c>
      <c r="C85" s="7" t="s">
        <v>195</v>
      </c>
      <c r="D85" s="8" t="s">
        <v>216</v>
      </c>
      <c r="E85" s="8">
        <v>18</v>
      </c>
      <c r="F85" s="30">
        <v>9000</v>
      </c>
    </row>
    <row r="86" spans="2:6" x14ac:dyDescent="0.4">
      <c r="B86" s="31">
        <v>45222</v>
      </c>
      <c r="C86" s="7" t="s">
        <v>198</v>
      </c>
      <c r="D86" s="8" t="s">
        <v>217</v>
      </c>
      <c r="E86" s="8">
        <v>22</v>
      </c>
      <c r="F86" s="30">
        <v>11000</v>
      </c>
    </row>
    <row r="87" spans="2:6" x14ac:dyDescent="0.4">
      <c r="B87" s="31">
        <v>45223</v>
      </c>
      <c r="C87" s="7" t="s">
        <v>196</v>
      </c>
      <c r="D87" s="8" t="s">
        <v>17</v>
      </c>
      <c r="E87" s="8">
        <v>28</v>
      </c>
      <c r="F87" s="30">
        <v>14000</v>
      </c>
    </row>
    <row r="88" spans="2:6" x14ac:dyDescent="0.4">
      <c r="B88" s="31">
        <v>45224</v>
      </c>
      <c r="C88" s="7" t="s">
        <v>119</v>
      </c>
      <c r="D88" s="8" t="s">
        <v>18</v>
      </c>
      <c r="E88" s="8">
        <v>10</v>
      </c>
      <c r="F88" s="30">
        <v>5000</v>
      </c>
    </row>
    <row r="89" spans="2:6" x14ac:dyDescent="0.4">
      <c r="B89" s="31">
        <v>45225</v>
      </c>
      <c r="C89" s="7" t="s">
        <v>123</v>
      </c>
      <c r="D89" s="8" t="s">
        <v>214</v>
      </c>
      <c r="E89" s="8">
        <v>12</v>
      </c>
      <c r="F89" s="30">
        <v>6000</v>
      </c>
    </row>
    <row r="90" spans="2:6" x14ac:dyDescent="0.4">
      <c r="B90" s="31">
        <v>45226</v>
      </c>
      <c r="C90" s="7" t="s">
        <v>201</v>
      </c>
      <c r="D90" s="8" t="s">
        <v>215</v>
      </c>
      <c r="E90" s="8">
        <v>35</v>
      </c>
      <c r="F90" s="30">
        <v>17500</v>
      </c>
    </row>
    <row r="91" spans="2:6" x14ac:dyDescent="0.4">
      <c r="B91" s="31">
        <v>45227</v>
      </c>
      <c r="C91" s="7" t="s">
        <v>195</v>
      </c>
      <c r="D91" s="8" t="s">
        <v>216</v>
      </c>
      <c r="E91" s="8">
        <v>24</v>
      </c>
      <c r="F91" s="30">
        <v>12000</v>
      </c>
    </row>
    <row r="92" spans="2:6" x14ac:dyDescent="0.4">
      <c r="B92" s="31">
        <v>45228</v>
      </c>
      <c r="C92" s="7" t="s">
        <v>200</v>
      </c>
      <c r="D92" s="8" t="s">
        <v>217</v>
      </c>
      <c r="E92" s="8">
        <v>18</v>
      </c>
      <c r="F92" s="30">
        <v>9000</v>
      </c>
    </row>
    <row r="93" spans="2:6" x14ac:dyDescent="0.4">
      <c r="B93" s="31">
        <v>45229</v>
      </c>
      <c r="C93" s="7" t="s">
        <v>202</v>
      </c>
      <c r="D93" s="8" t="s">
        <v>17</v>
      </c>
      <c r="E93" s="8">
        <v>26</v>
      </c>
      <c r="F93" s="30">
        <v>13000</v>
      </c>
    </row>
    <row r="94" spans="2:6" x14ac:dyDescent="0.4">
      <c r="B94" s="31">
        <v>45230</v>
      </c>
      <c r="C94" s="7" t="s">
        <v>203</v>
      </c>
      <c r="D94" s="8" t="s">
        <v>18</v>
      </c>
      <c r="E94" s="8">
        <v>16</v>
      </c>
      <c r="F94" s="30">
        <v>8000</v>
      </c>
    </row>
  </sheetData>
  <mergeCells count="3">
    <mergeCell ref="H3:H4"/>
    <mergeCell ref="H7:H8"/>
    <mergeCell ref="B1:F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707" r:id="rId3" name="Check Box 3">
              <controlPr defaultSize="0" autoFill="0" autoLine="0" autoPict="0" altText="">
                <anchor moveWithCells="1">
                  <from>
                    <xdr:col>4</xdr:col>
                    <xdr:colOff>502920</xdr:colOff>
                    <xdr:row>0</xdr:row>
                    <xdr:rowOff>45720</xdr:rowOff>
                  </from>
                  <to>
                    <xdr:col>4</xdr:col>
                    <xdr:colOff>807720</xdr:colOff>
                    <xdr:row>0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C00D-AC7D-49F6-A16C-9B0DBF03A911}">
  <sheetPr>
    <tabColor theme="1"/>
  </sheetPr>
  <dimension ref="B1:G8"/>
  <sheetViews>
    <sheetView zoomScale="175" zoomScaleNormal="175" workbookViewId="0">
      <selection activeCell="B2" sqref="B2:E2"/>
    </sheetView>
  </sheetViews>
  <sheetFormatPr defaultRowHeight="16.8" x14ac:dyDescent="0.4"/>
  <cols>
    <col min="1" max="1" width="1.19921875" customWidth="1"/>
    <col min="2" max="2" width="8.69921875" customWidth="1"/>
    <col min="3" max="3" width="8" customWidth="1"/>
    <col min="4" max="4" width="8.59765625" customWidth="1"/>
    <col min="5" max="5" width="9.296875" customWidth="1"/>
    <col min="6" max="6" width="2.09765625" customWidth="1"/>
    <col min="7" max="7" width="29.09765625" bestFit="1" customWidth="1"/>
  </cols>
  <sheetData>
    <row r="1" spans="2:7" ht="26.25" customHeight="1" x14ac:dyDescent="0.4">
      <c r="B1" s="80" t="s">
        <v>130</v>
      </c>
      <c r="C1" s="80"/>
      <c r="D1" s="80"/>
      <c r="E1" s="80"/>
      <c r="F1" s="80"/>
      <c r="G1" s="80"/>
    </row>
    <row r="2" spans="2:7" x14ac:dyDescent="0.4">
      <c r="B2" s="77" t="s">
        <v>12</v>
      </c>
      <c r="C2" s="77" t="s">
        <v>5</v>
      </c>
      <c r="D2" s="77" t="s">
        <v>118</v>
      </c>
      <c r="E2" s="77" t="s">
        <v>13</v>
      </c>
      <c r="G2" s="81" t="s">
        <v>808</v>
      </c>
    </row>
    <row r="3" spans="2:7" x14ac:dyDescent="0.4">
      <c r="B3" s="7" t="s">
        <v>14</v>
      </c>
      <c r="C3" s="8" t="s">
        <v>122</v>
      </c>
      <c r="D3" s="8" t="s">
        <v>17</v>
      </c>
      <c r="E3" s="8">
        <v>100</v>
      </c>
      <c r="G3" s="82"/>
    </row>
    <row r="4" spans="2:7" x14ac:dyDescent="0.4">
      <c r="B4" s="7" t="s">
        <v>29</v>
      </c>
      <c r="C4" s="8" t="s">
        <v>122</v>
      </c>
      <c r="D4" s="8" t="s">
        <v>18</v>
      </c>
      <c r="E4" s="8">
        <v>50</v>
      </c>
      <c r="G4" s="67"/>
    </row>
    <row r="5" spans="2:7" x14ac:dyDescent="0.4">
      <c r="B5" s="7" t="s">
        <v>126</v>
      </c>
      <c r="C5" s="8" t="s">
        <v>123</v>
      </c>
      <c r="D5" s="8" t="s">
        <v>17</v>
      </c>
      <c r="E5" s="8">
        <v>90</v>
      </c>
    </row>
    <row r="6" spans="2:7" x14ac:dyDescent="0.4">
      <c r="B6" s="7" t="s">
        <v>19</v>
      </c>
      <c r="C6" s="8" t="s">
        <v>122</v>
      </c>
      <c r="D6" s="8" t="s">
        <v>17</v>
      </c>
      <c r="E6" s="8">
        <v>70</v>
      </c>
    </row>
    <row r="7" spans="2:7" x14ac:dyDescent="0.4">
      <c r="B7" s="7" t="s">
        <v>127</v>
      </c>
      <c r="C7" s="8" t="s">
        <v>122</v>
      </c>
      <c r="D7" s="8" t="s">
        <v>18</v>
      </c>
      <c r="E7" s="8">
        <v>65</v>
      </c>
    </row>
    <row r="8" spans="2:7" x14ac:dyDescent="0.4">
      <c r="B8" s="7" t="s">
        <v>128</v>
      </c>
      <c r="C8" s="8" t="s">
        <v>123</v>
      </c>
      <c r="D8" s="8" t="s">
        <v>17</v>
      </c>
      <c r="E8" s="8">
        <v>60</v>
      </c>
    </row>
  </sheetData>
  <mergeCells count="2">
    <mergeCell ref="B1:G1"/>
    <mergeCell ref="G2:G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4" r:id="rId3" name="Check Box 4">
              <controlPr defaultSize="0" autoFill="0" autoLine="0" autoPict="0" altText="">
                <anchor moveWithCells="1">
                  <from>
                    <xdr:col>6</xdr:col>
                    <xdr:colOff>1356360</xdr:colOff>
                    <xdr:row>0</xdr:row>
                    <xdr:rowOff>68580</xdr:rowOff>
                  </from>
                  <to>
                    <xdr:col>6</xdr:col>
                    <xdr:colOff>1661160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DED1-206D-4146-A32F-6697E4192F75}">
  <sheetPr>
    <tabColor theme="0"/>
  </sheetPr>
  <dimension ref="B1:H94"/>
  <sheetViews>
    <sheetView workbookViewId="0">
      <selection activeCell="B2" sqref="B2:F2"/>
    </sheetView>
  </sheetViews>
  <sheetFormatPr defaultRowHeight="16.8" x14ac:dyDescent="0.4"/>
  <cols>
    <col min="2" max="2" width="11.3984375" style="4" customWidth="1"/>
    <col min="3" max="4" width="13.69921875" customWidth="1"/>
    <col min="5" max="5" width="11.59765625" style="4" customWidth="1"/>
    <col min="6" max="6" width="16.19921875" customWidth="1"/>
    <col min="7" max="7" width="5.69921875" customWidth="1"/>
    <col min="8" max="8" width="29.59765625" customWidth="1"/>
    <col min="9" max="9" width="11" customWidth="1"/>
  </cols>
  <sheetData>
    <row r="1" spans="2:8" ht="26.25" customHeight="1" x14ac:dyDescent="0.4">
      <c r="B1" s="79" t="s">
        <v>564</v>
      </c>
      <c r="C1" s="79"/>
      <c r="D1" s="79"/>
      <c r="E1" s="79"/>
      <c r="F1" s="79"/>
    </row>
    <row r="2" spans="2:8" x14ac:dyDescent="0.4">
      <c r="B2" s="77" t="s">
        <v>208</v>
      </c>
      <c r="C2" s="77" t="s">
        <v>209</v>
      </c>
      <c r="D2" s="77" t="s">
        <v>118</v>
      </c>
      <c r="E2" s="77" t="s">
        <v>210</v>
      </c>
      <c r="F2" s="77" t="s">
        <v>211</v>
      </c>
    </row>
    <row r="3" spans="2:8" x14ac:dyDescent="0.4">
      <c r="B3" s="31">
        <v>45139</v>
      </c>
      <c r="C3" s="7" t="s">
        <v>120</v>
      </c>
      <c r="D3" s="8" t="s">
        <v>17</v>
      </c>
      <c r="E3" s="8">
        <v>25</v>
      </c>
      <c r="F3" s="30">
        <v>12500</v>
      </c>
      <c r="H3" s="83" t="s">
        <v>809</v>
      </c>
    </row>
    <row r="4" spans="2:8" x14ac:dyDescent="0.4">
      <c r="B4" s="31">
        <v>45140</v>
      </c>
      <c r="C4" s="7" t="s">
        <v>193</v>
      </c>
      <c r="D4" s="8" t="s">
        <v>18</v>
      </c>
      <c r="E4" s="8">
        <v>15</v>
      </c>
      <c r="F4" s="30">
        <v>15000</v>
      </c>
      <c r="H4" s="84"/>
    </row>
    <row r="5" spans="2:8" x14ac:dyDescent="0.4">
      <c r="B5" s="31">
        <v>45141</v>
      </c>
      <c r="C5" s="7" t="s">
        <v>119</v>
      </c>
      <c r="D5" s="8" t="s">
        <v>214</v>
      </c>
      <c r="E5" s="8">
        <v>30</v>
      </c>
      <c r="F5" s="30">
        <v>9000</v>
      </c>
      <c r="H5" s="70"/>
    </row>
    <row r="6" spans="2:8" x14ac:dyDescent="0.4">
      <c r="B6" s="31">
        <v>45142</v>
      </c>
      <c r="C6" s="7" t="s">
        <v>194</v>
      </c>
      <c r="D6" s="8" t="s">
        <v>215</v>
      </c>
      <c r="E6" s="8">
        <v>20</v>
      </c>
      <c r="F6" s="30">
        <v>10000</v>
      </c>
    </row>
    <row r="7" spans="2:8" x14ac:dyDescent="0.4">
      <c r="B7" s="31">
        <v>45143</v>
      </c>
      <c r="C7" s="7" t="s">
        <v>122</v>
      </c>
      <c r="D7" s="8" t="s">
        <v>216</v>
      </c>
      <c r="E7" s="8">
        <v>18</v>
      </c>
      <c r="F7" s="30">
        <v>9000</v>
      </c>
      <c r="H7" s="83" t="s">
        <v>810</v>
      </c>
    </row>
    <row r="8" spans="2:8" x14ac:dyDescent="0.4">
      <c r="B8" s="31">
        <v>45144</v>
      </c>
      <c r="C8" s="7" t="s">
        <v>195</v>
      </c>
      <c r="D8" s="8" t="s">
        <v>217</v>
      </c>
      <c r="E8" s="8">
        <v>22</v>
      </c>
      <c r="F8" s="30">
        <v>11000</v>
      </c>
      <c r="H8" s="84"/>
    </row>
    <row r="9" spans="2:8" x14ac:dyDescent="0.4">
      <c r="B9" s="31">
        <v>45145</v>
      </c>
      <c r="C9" s="7" t="s">
        <v>196</v>
      </c>
      <c r="D9" s="8" t="s">
        <v>17</v>
      </c>
      <c r="E9" s="8">
        <v>28</v>
      </c>
      <c r="F9" s="30">
        <v>14000</v>
      </c>
      <c r="H9" s="32"/>
    </row>
    <row r="10" spans="2:8" ht="16.5" customHeight="1" x14ac:dyDescent="0.4">
      <c r="B10" s="31">
        <v>45146</v>
      </c>
      <c r="C10" s="7" t="s">
        <v>197</v>
      </c>
      <c r="D10" s="8" t="s">
        <v>18</v>
      </c>
      <c r="E10" s="8">
        <v>10</v>
      </c>
      <c r="F10" s="30">
        <v>5000</v>
      </c>
    </row>
    <row r="11" spans="2:8" x14ac:dyDescent="0.4">
      <c r="B11" s="31">
        <v>45147</v>
      </c>
      <c r="C11" s="7" t="s">
        <v>198</v>
      </c>
      <c r="D11" s="8" t="s">
        <v>214</v>
      </c>
      <c r="E11" s="8">
        <v>12</v>
      </c>
      <c r="F11" s="30">
        <v>6000</v>
      </c>
    </row>
    <row r="12" spans="2:8" x14ac:dyDescent="0.4">
      <c r="B12" s="31">
        <v>45148</v>
      </c>
      <c r="C12" s="7" t="s">
        <v>199</v>
      </c>
      <c r="D12" s="8" t="s">
        <v>215</v>
      </c>
      <c r="E12" s="8">
        <v>35</v>
      </c>
      <c r="F12" s="30">
        <v>17500</v>
      </c>
    </row>
    <row r="13" spans="2:8" x14ac:dyDescent="0.4">
      <c r="B13" s="31">
        <v>45149</v>
      </c>
      <c r="C13" s="7" t="s">
        <v>200</v>
      </c>
      <c r="D13" s="8" t="s">
        <v>216</v>
      </c>
      <c r="E13" s="8">
        <v>24</v>
      </c>
      <c r="F13" s="30">
        <v>12000</v>
      </c>
    </row>
    <row r="14" spans="2:8" x14ac:dyDescent="0.4">
      <c r="B14" s="31">
        <v>45150</v>
      </c>
      <c r="C14" s="7" t="s">
        <v>123</v>
      </c>
      <c r="D14" s="8" t="s">
        <v>217</v>
      </c>
      <c r="E14" s="8">
        <v>18</v>
      </c>
      <c r="F14" s="30">
        <v>9000</v>
      </c>
    </row>
    <row r="15" spans="2:8" x14ac:dyDescent="0.4">
      <c r="B15" s="31">
        <v>45151</v>
      </c>
      <c r="C15" s="7" t="s">
        <v>201</v>
      </c>
      <c r="D15" s="8" t="s">
        <v>17</v>
      </c>
      <c r="E15" s="8">
        <v>26</v>
      </c>
      <c r="F15" s="30">
        <v>13000</v>
      </c>
    </row>
    <row r="16" spans="2:8" x14ac:dyDescent="0.4">
      <c r="B16" s="31">
        <v>45152</v>
      </c>
      <c r="C16" s="7" t="s">
        <v>202</v>
      </c>
      <c r="D16" s="8" t="s">
        <v>18</v>
      </c>
      <c r="E16" s="8">
        <v>16</v>
      </c>
      <c r="F16" s="30">
        <v>8000</v>
      </c>
    </row>
    <row r="17" spans="2:6" x14ac:dyDescent="0.4">
      <c r="B17" s="31">
        <v>45153</v>
      </c>
      <c r="C17" s="7" t="s">
        <v>203</v>
      </c>
      <c r="D17" s="8" t="s">
        <v>214</v>
      </c>
      <c r="E17" s="8">
        <v>31</v>
      </c>
      <c r="F17" s="30">
        <v>15500</v>
      </c>
    </row>
    <row r="18" spans="2:6" x14ac:dyDescent="0.4">
      <c r="B18" s="31">
        <v>45154</v>
      </c>
      <c r="C18" s="7" t="s">
        <v>204</v>
      </c>
      <c r="D18" s="8" t="s">
        <v>215</v>
      </c>
      <c r="E18" s="8">
        <v>21</v>
      </c>
      <c r="F18" s="30">
        <v>10500</v>
      </c>
    </row>
    <row r="19" spans="2:6" x14ac:dyDescent="0.4">
      <c r="B19" s="31">
        <v>45155</v>
      </c>
      <c r="C19" s="7" t="s">
        <v>205</v>
      </c>
      <c r="D19" s="8" t="s">
        <v>216</v>
      </c>
      <c r="E19" s="8">
        <v>14</v>
      </c>
      <c r="F19" s="30">
        <v>7000</v>
      </c>
    </row>
    <row r="20" spans="2:6" x14ac:dyDescent="0.4">
      <c r="B20" s="31">
        <v>45156</v>
      </c>
      <c r="C20" s="7" t="s">
        <v>206</v>
      </c>
      <c r="D20" s="8" t="s">
        <v>217</v>
      </c>
      <c r="E20" s="8">
        <v>19</v>
      </c>
      <c r="F20" s="30">
        <v>9500</v>
      </c>
    </row>
    <row r="21" spans="2:6" x14ac:dyDescent="0.4">
      <c r="B21" s="31">
        <v>45157</v>
      </c>
      <c r="C21" s="7" t="s">
        <v>207</v>
      </c>
      <c r="D21" s="8" t="s">
        <v>17</v>
      </c>
      <c r="E21" s="8">
        <v>27</v>
      </c>
      <c r="F21" s="30">
        <v>13500</v>
      </c>
    </row>
    <row r="22" spans="2:6" x14ac:dyDescent="0.4">
      <c r="B22" s="31">
        <v>45158</v>
      </c>
      <c r="C22" s="7" t="s">
        <v>204</v>
      </c>
      <c r="D22" s="8" t="s">
        <v>18</v>
      </c>
      <c r="E22" s="8">
        <v>23</v>
      </c>
      <c r="F22" s="30">
        <v>11500</v>
      </c>
    </row>
    <row r="23" spans="2:6" x14ac:dyDescent="0.4">
      <c r="B23" s="31">
        <v>45159</v>
      </c>
      <c r="C23" s="7" t="s">
        <v>122</v>
      </c>
      <c r="D23" s="8" t="s">
        <v>214</v>
      </c>
      <c r="E23" s="8">
        <v>17</v>
      </c>
      <c r="F23" s="30">
        <v>8500</v>
      </c>
    </row>
    <row r="24" spans="2:6" x14ac:dyDescent="0.4">
      <c r="B24" s="31">
        <v>45160</v>
      </c>
      <c r="C24" s="7" t="s">
        <v>197</v>
      </c>
      <c r="D24" s="8" t="s">
        <v>215</v>
      </c>
      <c r="E24" s="8">
        <v>29</v>
      </c>
      <c r="F24" s="30">
        <v>14500</v>
      </c>
    </row>
    <row r="25" spans="2:6" x14ac:dyDescent="0.4">
      <c r="B25" s="31">
        <v>45161</v>
      </c>
      <c r="C25" s="7" t="s">
        <v>196</v>
      </c>
      <c r="D25" s="8" t="s">
        <v>216</v>
      </c>
      <c r="E25" s="8">
        <v>13</v>
      </c>
      <c r="F25" s="30">
        <v>6500</v>
      </c>
    </row>
    <row r="26" spans="2:6" x14ac:dyDescent="0.4">
      <c r="B26" s="31">
        <v>45162</v>
      </c>
      <c r="C26" s="7" t="s">
        <v>119</v>
      </c>
      <c r="D26" s="8" t="s">
        <v>217</v>
      </c>
      <c r="E26" s="8">
        <v>9</v>
      </c>
      <c r="F26" s="30">
        <v>4500</v>
      </c>
    </row>
    <row r="27" spans="2:6" x14ac:dyDescent="0.4">
      <c r="B27" s="31">
        <v>45163</v>
      </c>
      <c r="C27" s="7" t="s">
        <v>120</v>
      </c>
      <c r="D27" s="8" t="s">
        <v>17</v>
      </c>
      <c r="E27" s="8">
        <v>32</v>
      </c>
      <c r="F27" s="30">
        <v>16000</v>
      </c>
    </row>
    <row r="28" spans="2:6" x14ac:dyDescent="0.4">
      <c r="B28" s="31">
        <v>45164</v>
      </c>
      <c r="C28" s="7" t="s">
        <v>199</v>
      </c>
      <c r="D28" s="8" t="s">
        <v>18</v>
      </c>
      <c r="E28" s="8">
        <v>11</v>
      </c>
      <c r="F28" s="30">
        <v>5500</v>
      </c>
    </row>
    <row r="29" spans="2:6" x14ac:dyDescent="0.4">
      <c r="B29" s="31">
        <v>45165</v>
      </c>
      <c r="C29" s="7" t="s">
        <v>193</v>
      </c>
      <c r="D29" s="8" t="s">
        <v>214</v>
      </c>
      <c r="E29" s="8">
        <v>20</v>
      </c>
      <c r="F29" s="30">
        <v>10000</v>
      </c>
    </row>
    <row r="30" spans="2:6" x14ac:dyDescent="0.4">
      <c r="B30" s="31">
        <v>45166</v>
      </c>
      <c r="C30" s="7" t="s">
        <v>194</v>
      </c>
      <c r="D30" s="8" t="s">
        <v>215</v>
      </c>
      <c r="E30" s="8">
        <v>25</v>
      </c>
      <c r="F30" s="30">
        <v>12500</v>
      </c>
    </row>
    <row r="31" spans="2:6" x14ac:dyDescent="0.4">
      <c r="B31" s="31">
        <v>45167</v>
      </c>
      <c r="C31" s="7" t="s">
        <v>123</v>
      </c>
      <c r="D31" s="8" t="s">
        <v>216</v>
      </c>
      <c r="E31" s="8">
        <v>15</v>
      </c>
      <c r="F31" s="30">
        <v>7500</v>
      </c>
    </row>
    <row r="32" spans="2:6" x14ac:dyDescent="0.4">
      <c r="B32" s="31">
        <v>45168</v>
      </c>
      <c r="C32" s="7" t="s">
        <v>201</v>
      </c>
      <c r="D32" s="8" t="s">
        <v>217</v>
      </c>
      <c r="E32" s="8">
        <v>30</v>
      </c>
      <c r="F32" s="30">
        <v>15000</v>
      </c>
    </row>
    <row r="33" spans="2:6" x14ac:dyDescent="0.4">
      <c r="B33" s="31">
        <v>45169</v>
      </c>
      <c r="C33" s="7" t="s">
        <v>195</v>
      </c>
      <c r="D33" s="8" t="s">
        <v>17</v>
      </c>
      <c r="E33" s="8">
        <v>18</v>
      </c>
      <c r="F33" s="30">
        <v>9000</v>
      </c>
    </row>
    <row r="34" spans="2:6" x14ac:dyDescent="0.4">
      <c r="B34" s="31">
        <v>45170</v>
      </c>
      <c r="C34" s="7" t="s">
        <v>198</v>
      </c>
      <c r="D34" s="8" t="s">
        <v>18</v>
      </c>
      <c r="E34" s="8">
        <v>22</v>
      </c>
      <c r="F34" s="30">
        <v>11000</v>
      </c>
    </row>
    <row r="35" spans="2:6" x14ac:dyDescent="0.4">
      <c r="B35" s="31">
        <v>45171</v>
      </c>
      <c r="C35" s="7" t="s">
        <v>200</v>
      </c>
      <c r="D35" s="8" t="s">
        <v>214</v>
      </c>
      <c r="E35" s="8">
        <v>28</v>
      </c>
      <c r="F35" s="30">
        <v>14000</v>
      </c>
    </row>
    <row r="36" spans="2:6" x14ac:dyDescent="0.4">
      <c r="B36" s="31">
        <v>45172</v>
      </c>
      <c r="C36" s="7" t="s">
        <v>202</v>
      </c>
      <c r="D36" s="8" t="s">
        <v>215</v>
      </c>
      <c r="E36" s="8">
        <v>10</v>
      </c>
      <c r="F36" s="30">
        <v>5000</v>
      </c>
    </row>
    <row r="37" spans="2:6" x14ac:dyDescent="0.4">
      <c r="B37" s="31">
        <v>45173</v>
      </c>
      <c r="C37" s="7" t="s">
        <v>203</v>
      </c>
      <c r="D37" s="8" t="s">
        <v>216</v>
      </c>
      <c r="E37" s="8">
        <v>12</v>
      </c>
      <c r="F37" s="30">
        <v>6000</v>
      </c>
    </row>
    <row r="38" spans="2:6" x14ac:dyDescent="0.4">
      <c r="B38" s="31">
        <v>45174</v>
      </c>
      <c r="C38" s="7" t="s">
        <v>206</v>
      </c>
      <c r="D38" s="8" t="s">
        <v>217</v>
      </c>
      <c r="E38" s="8">
        <v>35</v>
      </c>
      <c r="F38" s="30">
        <v>17500</v>
      </c>
    </row>
    <row r="39" spans="2:6" x14ac:dyDescent="0.4">
      <c r="B39" s="31">
        <v>45175</v>
      </c>
      <c r="C39" s="7" t="s">
        <v>205</v>
      </c>
      <c r="D39" s="8" t="s">
        <v>17</v>
      </c>
      <c r="E39" s="8">
        <v>24</v>
      </c>
      <c r="F39" s="30">
        <v>12000</v>
      </c>
    </row>
    <row r="40" spans="2:6" x14ac:dyDescent="0.4">
      <c r="B40" s="31">
        <v>45176</v>
      </c>
      <c r="C40" s="7" t="s">
        <v>204</v>
      </c>
      <c r="D40" s="8" t="s">
        <v>18</v>
      </c>
      <c r="E40" s="8">
        <v>18</v>
      </c>
      <c r="F40" s="30">
        <v>9000</v>
      </c>
    </row>
    <row r="41" spans="2:6" x14ac:dyDescent="0.4">
      <c r="B41" s="31">
        <v>45177</v>
      </c>
      <c r="C41" s="7" t="s">
        <v>122</v>
      </c>
      <c r="D41" s="8" t="s">
        <v>214</v>
      </c>
      <c r="E41" s="8">
        <v>26</v>
      </c>
      <c r="F41" s="30">
        <v>13000</v>
      </c>
    </row>
    <row r="42" spans="2:6" x14ac:dyDescent="0.4">
      <c r="B42" s="31">
        <v>45178</v>
      </c>
      <c r="C42" s="7" t="s">
        <v>197</v>
      </c>
      <c r="D42" s="8" t="s">
        <v>215</v>
      </c>
      <c r="E42" s="8">
        <v>16</v>
      </c>
      <c r="F42" s="30">
        <v>8000</v>
      </c>
    </row>
    <row r="43" spans="2:6" x14ac:dyDescent="0.4">
      <c r="B43" s="31">
        <v>45179</v>
      </c>
      <c r="C43" s="7" t="s">
        <v>119</v>
      </c>
      <c r="D43" s="8" t="s">
        <v>216</v>
      </c>
      <c r="E43" s="8">
        <v>31</v>
      </c>
      <c r="F43" s="30">
        <v>15500</v>
      </c>
    </row>
    <row r="44" spans="2:6" x14ac:dyDescent="0.4">
      <c r="B44" s="31">
        <v>45180</v>
      </c>
      <c r="C44" s="7" t="s">
        <v>193</v>
      </c>
      <c r="D44" s="8" t="s">
        <v>217</v>
      </c>
      <c r="E44" s="8">
        <v>21</v>
      </c>
      <c r="F44" s="30">
        <v>10500</v>
      </c>
    </row>
    <row r="45" spans="2:6" x14ac:dyDescent="0.4">
      <c r="B45" s="31">
        <v>45181</v>
      </c>
      <c r="C45" s="7" t="s">
        <v>123</v>
      </c>
      <c r="D45" s="8" t="s">
        <v>17</v>
      </c>
      <c r="E45" s="8">
        <v>14</v>
      </c>
      <c r="F45" s="30">
        <v>7000</v>
      </c>
    </row>
    <row r="46" spans="2:6" x14ac:dyDescent="0.4">
      <c r="B46" s="31">
        <v>45182</v>
      </c>
      <c r="C46" s="7" t="s">
        <v>196</v>
      </c>
      <c r="D46" s="8" t="s">
        <v>18</v>
      </c>
      <c r="E46" s="8">
        <v>19</v>
      </c>
      <c r="F46" s="30">
        <v>9500</v>
      </c>
    </row>
    <row r="47" spans="2:6" x14ac:dyDescent="0.4">
      <c r="B47" s="31">
        <v>45183</v>
      </c>
      <c r="C47" s="7" t="s">
        <v>120</v>
      </c>
      <c r="D47" s="8" t="s">
        <v>214</v>
      </c>
      <c r="E47" s="8">
        <v>27</v>
      </c>
      <c r="F47" s="30">
        <v>13500</v>
      </c>
    </row>
    <row r="48" spans="2:6" x14ac:dyDescent="0.4">
      <c r="B48" s="31">
        <v>45184</v>
      </c>
      <c r="C48" s="7" t="s">
        <v>199</v>
      </c>
      <c r="D48" s="8" t="s">
        <v>215</v>
      </c>
      <c r="E48" s="8">
        <v>23</v>
      </c>
      <c r="F48" s="30">
        <v>11500</v>
      </c>
    </row>
    <row r="49" spans="2:6" x14ac:dyDescent="0.4">
      <c r="B49" s="31">
        <v>45185</v>
      </c>
      <c r="C49" s="7" t="s">
        <v>194</v>
      </c>
      <c r="D49" s="8" t="s">
        <v>216</v>
      </c>
      <c r="E49" s="8">
        <v>17</v>
      </c>
      <c r="F49" s="30">
        <v>8500</v>
      </c>
    </row>
    <row r="50" spans="2:6" x14ac:dyDescent="0.4">
      <c r="B50" s="31">
        <v>45186</v>
      </c>
      <c r="C50" s="7" t="s">
        <v>201</v>
      </c>
      <c r="D50" s="8" t="s">
        <v>217</v>
      </c>
      <c r="E50" s="8">
        <v>29</v>
      </c>
      <c r="F50" s="30">
        <v>14500</v>
      </c>
    </row>
    <row r="51" spans="2:6" x14ac:dyDescent="0.4">
      <c r="B51" s="31">
        <v>45187</v>
      </c>
      <c r="C51" s="7" t="s">
        <v>195</v>
      </c>
      <c r="D51" s="8" t="s">
        <v>17</v>
      </c>
      <c r="E51" s="8">
        <v>13</v>
      </c>
      <c r="F51" s="30">
        <v>6500</v>
      </c>
    </row>
    <row r="52" spans="2:6" x14ac:dyDescent="0.4">
      <c r="B52" s="31">
        <v>45188</v>
      </c>
      <c r="C52" s="7" t="s">
        <v>198</v>
      </c>
      <c r="D52" s="8" t="s">
        <v>18</v>
      </c>
      <c r="E52" s="8">
        <v>9</v>
      </c>
      <c r="F52" s="30">
        <v>4500</v>
      </c>
    </row>
    <row r="53" spans="2:6" x14ac:dyDescent="0.4">
      <c r="B53" s="31">
        <v>45189</v>
      </c>
      <c r="C53" s="7" t="s">
        <v>204</v>
      </c>
      <c r="D53" s="8" t="s">
        <v>214</v>
      </c>
      <c r="E53" s="8">
        <v>32</v>
      </c>
      <c r="F53" s="30">
        <v>16000</v>
      </c>
    </row>
    <row r="54" spans="2:6" x14ac:dyDescent="0.4">
      <c r="B54" s="31">
        <v>45190</v>
      </c>
      <c r="C54" s="7" t="s">
        <v>119</v>
      </c>
      <c r="D54" s="8" t="s">
        <v>215</v>
      </c>
      <c r="E54" s="8">
        <v>11</v>
      </c>
      <c r="F54" s="30">
        <v>5500</v>
      </c>
    </row>
    <row r="55" spans="2:6" x14ac:dyDescent="0.4">
      <c r="B55" s="31">
        <v>45191</v>
      </c>
      <c r="C55" s="7" t="s">
        <v>122</v>
      </c>
      <c r="D55" s="8" t="s">
        <v>216</v>
      </c>
      <c r="E55" s="8">
        <v>20</v>
      </c>
      <c r="F55" s="30">
        <v>10000</v>
      </c>
    </row>
    <row r="56" spans="2:6" x14ac:dyDescent="0.4">
      <c r="B56" s="31">
        <v>45192</v>
      </c>
      <c r="C56" s="7" t="s">
        <v>197</v>
      </c>
      <c r="D56" s="8" t="s">
        <v>217</v>
      </c>
      <c r="E56" s="8">
        <v>25</v>
      </c>
      <c r="F56" s="30">
        <v>12500</v>
      </c>
    </row>
    <row r="57" spans="2:6" x14ac:dyDescent="0.4">
      <c r="B57" s="31">
        <v>45193</v>
      </c>
      <c r="C57" s="7" t="s">
        <v>123</v>
      </c>
      <c r="D57" s="8" t="s">
        <v>17</v>
      </c>
      <c r="E57" s="8">
        <v>15</v>
      </c>
      <c r="F57" s="30">
        <v>7500</v>
      </c>
    </row>
    <row r="58" spans="2:6" x14ac:dyDescent="0.4">
      <c r="B58" s="31">
        <v>45194</v>
      </c>
      <c r="C58" s="7" t="s">
        <v>201</v>
      </c>
      <c r="D58" s="8" t="s">
        <v>18</v>
      </c>
      <c r="E58" s="8">
        <v>30</v>
      </c>
      <c r="F58" s="30">
        <v>15000</v>
      </c>
    </row>
    <row r="59" spans="2:6" x14ac:dyDescent="0.4">
      <c r="B59" s="31">
        <v>45195</v>
      </c>
      <c r="C59" s="7" t="s">
        <v>195</v>
      </c>
      <c r="D59" s="8" t="s">
        <v>214</v>
      </c>
      <c r="E59" s="8">
        <v>18</v>
      </c>
      <c r="F59" s="30">
        <v>9000</v>
      </c>
    </row>
    <row r="60" spans="2:6" x14ac:dyDescent="0.4">
      <c r="B60" s="31">
        <v>45196</v>
      </c>
      <c r="C60" s="7" t="s">
        <v>200</v>
      </c>
      <c r="D60" s="8" t="s">
        <v>215</v>
      </c>
      <c r="E60" s="8">
        <v>22</v>
      </c>
      <c r="F60" s="30">
        <v>11000</v>
      </c>
    </row>
    <row r="61" spans="2:6" x14ac:dyDescent="0.4">
      <c r="B61" s="31">
        <v>45197</v>
      </c>
      <c r="C61" s="7" t="s">
        <v>202</v>
      </c>
      <c r="D61" s="8" t="s">
        <v>216</v>
      </c>
      <c r="E61" s="8">
        <v>28</v>
      </c>
      <c r="F61" s="30">
        <v>14000</v>
      </c>
    </row>
    <row r="62" spans="2:6" x14ac:dyDescent="0.4">
      <c r="B62" s="31">
        <v>45198</v>
      </c>
      <c r="C62" s="7" t="s">
        <v>203</v>
      </c>
      <c r="D62" s="8" t="s">
        <v>217</v>
      </c>
      <c r="E62" s="8">
        <v>10</v>
      </c>
      <c r="F62" s="30">
        <v>5000</v>
      </c>
    </row>
    <row r="63" spans="2:6" x14ac:dyDescent="0.4">
      <c r="B63" s="31">
        <v>45199</v>
      </c>
      <c r="C63" s="7" t="s">
        <v>199</v>
      </c>
      <c r="D63" s="8" t="s">
        <v>17</v>
      </c>
      <c r="E63" s="8">
        <v>12</v>
      </c>
      <c r="F63" s="30">
        <v>6000</v>
      </c>
    </row>
    <row r="64" spans="2:6" x14ac:dyDescent="0.4">
      <c r="B64" s="31">
        <v>45200</v>
      </c>
      <c r="C64" s="7" t="s">
        <v>194</v>
      </c>
      <c r="D64" s="8" t="s">
        <v>18</v>
      </c>
      <c r="E64" s="8">
        <v>35</v>
      </c>
      <c r="F64" s="30">
        <v>17500</v>
      </c>
    </row>
    <row r="65" spans="2:6" x14ac:dyDescent="0.4">
      <c r="B65" s="31">
        <v>45201</v>
      </c>
      <c r="C65" s="7" t="s">
        <v>120</v>
      </c>
      <c r="D65" s="8" t="s">
        <v>214</v>
      </c>
      <c r="E65" s="8">
        <v>24</v>
      </c>
      <c r="F65" s="30">
        <v>12000</v>
      </c>
    </row>
    <row r="66" spans="2:6" x14ac:dyDescent="0.4">
      <c r="B66" s="31">
        <v>45202</v>
      </c>
      <c r="C66" s="7" t="s">
        <v>193</v>
      </c>
      <c r="D66" s="8" t="s">
        <v>215</v>
      </c>
      <c r="E66" s="8">
        <v>18</v>
      </c>
      <c r="F66" s="30">
        <v>9000</v>
      </c>
    </row>
    <row r="67" spans="2:6" x14ac:dyDescent="0.4">
      <c r="B67" s="31">
        <v>45203</v>
      </c>
      <c r="C67" s="7" t="s">
        <v>119</v>
      </c>
      <c r="D67" s="8" t="s">
        <v>216</v>
      </c>
      <c r="E67" s="8">
        <v>26</v>
      </c>
      <c r="F67" s="30">
        <v>13000</v>
      </c>
    </row>
    <row r="68" spans="2:6" x14ac:dyDescent="0.4">
      <c r="B68" s="31">
        <v>45204</v>
      </c>
      <c r="C68" s="7" t="s">
        <v>122</v>
      </c>
      <c r="D68" s="8" t="s">
        <v>217</v>
      </c>
      <c r="E68" s="8">
        <v>16</v>
      </c>
      <c r="F68" s="30">
        <v>8000</v>
      </c>
    </row>
    <row r="69" spans="2:6" x14ac:dyDescent="0.4">
      <c r="B69" s="31">
        <v>45205</v>
      </c>
      <c r="C69" s="7" t="s">
        <v>195</v>
      </c>
      <c r="D69" s="8" t="s">
        <v>17</v>
      </c>
      <c r="E69" s="8">
        <v>31</v>
      </c>
      <c r="F69" s="30">
        <v>15500</v>
      </c>
    </row>
    <row r="70" spans="2:6" x14ac:dyDescent="0.4">
      <c r="B70" s="31">
        <v>45206</v>
      </c>
      <c r="C70" s="7" t="s">
        <v>196</v>
      </c>
      <c r="D70" s="8" t="s">
        <v>18</v>
      </c>
      <c r="E70" s="8">
        <v>21</v>
      </c>
      <c r="F70" s="30">
        <v>10500</v>
      </c>
    </row>
    <row r="71" spans="2:6" x14ac:dyDescent="0.4">
      <c r="B71" s="31">
        <v>45207</v>
      </c>
      <c r="C71" s="7" t="s">
        <v>198</v>
      </c>
      <c r="D71" s="8" t="s">
        <v>214</v>
      </c>
      <c r="E71" s="8">
        <v>14</v>
      </c>
      <c r="F71" s="30">
        <v>7000</v>
      </c>
    </row>
    <row r="72" spans="2:6" x14ac:dyDescent="0.4">
      <c r="B72" s="31">
        <v>45208</v>
      </c>
      <c r="C72" s="7" t="s">
        <v>123</v>
      </c>
      <c r="D72" s="8" t="s">
        <v>215</v>
      </c>
      <c r="E72" s="8">
        <v>19</v>
      </c>
      <c r="F72" s="30">
        <v>9500</v>
      </c>
    </row>
    <row r="73" spans="2:6" x14ac:dyDescent="0.4">
      <c r="B73" s="31">
        <v>45209</v>
      </c>
      <c r="C73" s="7" t="s">
        <v>204</v>
      </c>
      <c r="D73" s="8" t="s">
        <v>216</v>
      </c>
      <c r="E73" s="8">
        <v>27</v>
      </c>
      <c r="F73" s="30">
        <v>13500</v>
      </c>
    </row>
    <row r="74" spans="2:6" x14ac:dyDescent="0.4">
      <c r="B74" s="31">
        <v>45210</v>
      </c>
      <c r="C74" s="7" t="s">
        <v>200</v>
      </c>
      <c r="D74" s="8" t="s">
        <v>217</v>
      </c>
      <c r="E74" s="8">
        <v>23</v>
      </c>
      <c r="F74" s="30">
        <v>11500</v>
      </c>
    </row>
    <row r="75" spans="2:6" x14ac:dyDescent="0.4">
      <c r="B75" s="31">
        <v>45211</v>
      </c>
      <c r="C75" s="7" t="s">
        <v>202</v>
      </c>
      <c r="D75" s="8" t="s">
        <v>17</v>
      </c>
      <c r="E75" s="8">
        <v>17</v>
      </c>
      <c r="F75" s="30">
        <v>8500</v>
      </c>
    </row>
    <row r="76" spans="2:6" x14ac:dyDescent="0.4">
      <c r="B76" s="31">
        <v>45212</v>
      </c>
      <c r="C76" s="7" t="s">
        <v>205</v>
      </c>
      <c r="D76" s="8" t="s">
        <v>18</v>
      </c>
      <c r="E76" s="8">
        <v>29</v>
      </c>
      <c r="F76" s="30">
        <v>14500</v>
      </c>
    </row>
    <row r="77" spans="2:6" x14ac:dyDescent="0.4">
      <c r="B77" s="31">
        <v>45213</v>
      </c>
      <c r="C77" s="7" t="s">
        <v>201</v>
      </c>
      <c r="D77" s="8" t="s">
        <v>214</v>
      </c>
      <c r="E77" s="8">
        <v>13</v>
      </c>
      <c r="F77" s="30">
        <v>6500</v>
      </c>
    </row>
    <row r="78" spans="2:6" x14ac:dyDescent="0.4">
      <c r="B78" s="31">
        <v>45214</v>
      </c>
      <c r="C78" s="7" t="s">
        <v>203</v>
      </c>
      <c r="D78" s="8" t="s">
        <v>215</v>
      </c>
      <c r="E78" s="8">
        <v>9</v>
      </c>
      <c r="F78" s="30">
        <v>4500</v>
      </c>
    </row>
    <row r="79" spans="2:6" x14ac:dyDescent="0.4">
      <c r="B79" s="31">
        <v>45215</v>
      </c>
      <c r="C79" s="7" t="s">
        <v>199</v>
      </c>
      <c r="D79" s="8" t="s">
        <v>216</v>
      </c>
      <c r="E79" s="8">
        <v>32</v>
      </c>
      <c r="F79" s="30">
        <v>16000</v>
      </c>
    </row>
    <row r="80" spans="2:6" x14ac:dyDescent="0.4">
      <c r="B80" s="31">
        <v>45216</v>
      </c>
      <c r="C80" s="7" t="s">
        <v>194</v>
      </c>
      <c r="D80" s="8" t="s">
        <v>217</v>
      </c>
      <c r="E80" s="8">
        <v>11</v>
      </c>
      <c r="F80" s="30">
        <v>5500</v>
      </c>
    </row>
    <row r="81" spans="2:6" x14ac:dyDescent="0.4">
      <c r="B81" s="31">
        <v>45217</v>
      </c>
      <c r="C81" s="7" t="s">
        <v>120</v>
      </c>
      <c r="D81" s="8" t="s">
        <v>17</v>
      </c>
      <c r="E81" s="8">
        <v>20</v>
      </c>
      <c r="F81" s="30">
        <v>10000</v>
      </c>
    </row>
    <row r="82" spans="2:6" x14ac:dyDescent="0.4">
      <c r="B82" s="31">
        <v>45218</v>
      </c>
      <c r="C82" s="7" t="s">
        <v>193</v>
      </c>
      <c r="D82" s="8" t="s">
        <v>18</v>
      </c>
      <c r="E82" s="8">
        <v>25</v>
      </c>
      <c r="F82" s="30">
        <v>12500</v>
      </c>
    </row>
    <row r="83" spans="2:6" x14ac:dyDescent="0.4">
      <c r="B83" s="31">
        <v>45219</v>
      </c>
      <c r="C83" s="7" t="s">
        <v>122</v>
      </c>
      <c r="D83" s="8" t="s">
        <v>214</v>
      </c>
      <c r="E83" s="8">
        <v>15</v>
      </c>
      <c r="F83" s="30">
        <v>7500</v>
      </c>
    </row>
    <row r="84" spans="2:6" x14ac:dyDescent="0.4">
      <c r="B84" s="31">
        <v>45220</v>
      </c>
      <c r="C84" s="7" t="s">
        <v>197</v>
      </c>
      <c r="D84" s="8" t="s">
        <v>215</v>
      </c>
      <c r="E84" s="8">
        <v>30</v>
      </c>
      <c r="F84" s="30">
        <v>15000</v>
      </c>
    </row>
    <row r="85" spans="2:6" x14ac:dyDescent="0.4">
      <c r="B85" s="31">
        <v>45221</v>
      </c>
      <c r="C85" s="7" t="s">
        <v>195</v>
      </c>
      <c r="D85" s="8" t="s">
        <v>216</v>
      </c>
      <c r="E85" s="8">
        <v>18</v>
      </c>
      <c r="F85" s="30">
        <v>9000</v>
      </c>
    </row>
    <row r="86" spans="2:6" x14ac:dyDescent="0.4">
      <c r="B86" s="31">
        <v>45222</v>
      </c>
      <c r="C86" s="7" t="s">
        <v>198</v>
      </c>
      <c r="D86" s="8" t="s">
        <v>217</v>
      </c>
      <c r="E86" s="8">
        <v>22</v>
      </c>
      <c r="F86" s="30">
        <v>11000</v>
      </c>
    </row>
    <row r="87" spans="2:6" x14ac:dyDescent="0.4">
      <c r="B87" s="31">
        <v>45223</v>
      </c>
      <c r="C87" s="7" t="s">
        <v>196</v>
      </c>
      <c r="D87" s="8" t="s">
        <v>17</v>
      </c>
      <c r="E87" s="8">
        <v>28</v>
      </c>
      <c r="F87" s="30">
        <v>14000</v>
      </c>
    </row>
    <row r="88" spans="2:6" x14ac:dyDescent="0.4">
      <c r="B88" s="31">
        <v>45224</v>
      </c>
      <c r="C88" s="7" t="s">
        <v>119</v>
      </c>
      <c r="D88" s="8" t="s">
        <v>18</v>
      </c>
      <c r="E88" s="8">
        <v>10</v>
      </c>
      <c r="F88" s="30">
        <v>5000</v>
      </c>
    </row>
    <row r="89" spans="2:6" x14ac:dyDescent="0.4">
      <c r="B89" s="31">
        <v>45225</v>
      </c>
      <c r="C89" s="7" t="s">
        <v>123</v>
      </c>
      <c r="D89" s="8" t="s">
        <v>214</v>
      </c>
      <c r="E89" s="8">
        <v>12</v>
      </c>
      <c r="F89" s="30">
        <v>6000</v>
      </c>
    </row>
    <row r="90" spans="2:6" x14ac:dyDescent="0.4">
      <c r="B90" s="31">
        <v>45226</v>
      </c>
      <c r="C90" s="7" t="s">
        <v>201</v>
      </c>
      <c r="D90" s="8" t="s">
        <v>215</v>
      </c>
      <c r="E90" s="8">
        <v>35</v>
      </c>
      <c r="F90" s="30">
        <v>17500</v>
      </c>
    </row>
    <row r="91" spans="2:6" x14ac:dyDescent="0.4">
      <c r="B91" s="31">
        <v>45227</v>
      </c>
      <c r="C91" s="7" t="s">
        <v>195</v>
      </c>
      <c r="D91" s="8" t="s">
        <v>216</v>
      </c>
      <c r="E91" s="8">
        <v>24</v>
      </c>
      <c r="F91" s="30">
        <v>12000</v>
      </c>
    </row>
    <row r="92" spans="2:6" x14ac:dyDescent="0.4">
      <c r="B92" s="31">
        <v>45228</v>
      </c>
      <c r="C92" s="7" t="s">
        <v>200</v>
      </c>
      <c r="D92" s="8" t="s">
        <v>217</v>
      </c>
      <c r="E92" s="8">
        <v>18</v>
      </c>
      <c r="F92" s="30">
        <v>9000</v>
      </c>
    </row>
    <row r="93" spans="2:6" x14ac:dyDescent="0.4">
      <c r="B93" s="31">
        <v>45229</v>
      </c>
      <c r="C93" s="7" t="s">
        <v>202</v>
      </c>
      <c r="D93" s="8" t="s">
        <v>17</v>
      </c>
      <c r="E93" s="8">
        <v>26</v>
      </c>
      <c r="F93" s="30">
        <v>13000</v>
      </c>
    </row>
    <row r="94" spans="2:6" x14ac:dyDescent="0.4">
      <c r="B94" s="31">
        <v>45230</v>
      </c>
      <c r="C94" s="7" t="s">
        <v>203</v>
      </c>
      <c r="D94" s="8" t="s">
        <v>18</v>
      </c>
      <c r="E94" s="8">
        <v>16</v>
      </c>
      <c r="F94" s="30">
        <v>8000</v>
      </c>
    </row>
  </sheetData>
  <mergeCells count="3">
    <mergeCell ref="H3:H4"/>
    <mergeCell ref="H7:H8"/>
    <mergeCell ref="B1:F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3" r:id="rId3" name="Check Box 1">
              <controlPr defaultSize="0" autoFill="0" autoLine="0" autoPict="0" altText="">
                <anchor moveWithCells="1">
                  <from>
                    <xdr:col>4</xdr:col>
                    <xdr:colOff>601980</xdr:colOff>
                    <xdr:row>0</xdr:row>
                    <xdr:rowOff>60960</xdr:rowOff>
                  </from>
                  <to>
                    <xdr:col>4</xdr:col>
                    <xdr:colOff>906780</xdr:colOff>
                    <xdr:row>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54F7-D404-41F5-B8A0-49C2583A61DC}">
  <sheetPr>
    <tabColor theme="1"/>
  </sheetPr>
  <dimension ref="B1:G7"/>
  <sheetViews>
    <sheetView zoomScale="190" zoomScaleNormal="190" workbookViewId="0">
      <selection activeCell="D2" sqref="B2:D2"/>
    </sheetView>
  </sheetViews>
  <sheetFormatPr defaultRowHeight="16.8" x14ac:dyDescent="0.4"/>
  <cols>
    <col min="1" max="1" width="1.796875" customWidth="1"/>
    <col min="2" max="2" width="11.3984375" customWidth="1"/>
    <col min="3" max="3" width="13" customWidth="1"/>
    <col min="4" max="4" width="10" customWidth="1"/>
    <col min="5" max="5" width="2.69921875" customWidth="1"/>
  </cols>
  <sheetData>
    <row r="1" spans="2:7" ht="25.5" customHeight="1" x14ac:dyDescent="0.4">
      <c r="B1" s="85" t="s">
        <v>77</v>
      </c>
      <c r="C1" s="85"/>
      <c r="D1" s="85"/>
      <c r="E1" s="85"/>
      <c r="F1" s="85"/>
      <c r="G1" s="85"/>
    </row>
    <row r="2" spans="2:7" ht="19.2" x14ac:dyDescent="0.45">
      <c r="B2" s="78" t="s">
        <v>4</v>
      </c>
      <c r="C2" s="78" t="s">
        <v>74</v>
      </c>
      <c r="D2" s="78" t="s">
        <v>78</v>
      </c>
      <c r="F2" s="86" t="s">
        <v>79</v>
      </c>
      <c r="G2" s="86"/>
    </row>
    <row r="3" spans="2:7" ht="19.2" x14ac:dyDescent="0.45">
      <c r="B3" s="13" t="s">
        <v>14</v>
      </c>
      <c r="C3" s="14" t="s">
        <v>75</v>
      </c>
      <c r="D3" s="14">
        <v>3.3</v>
      </c>
      <c r="F3" s="86"/>
      <c r="G3" s="86"/>
    </row>
    <row r="4" spans="2:7" ht="19.2" x14ac:dyDescent="0.45">
      <c r="B4" s="13" t="s">
        <v>15</v>
      </c>
      <c r="C4" s="14" t="s">
        <v>76</v>
      </c>
      <c r="D4" s="14">
        <v>3.9</v>
      </c>
      <c r="F4" s="87"/>
      <c r="G4" s="87"/>
    </row>
    <row r="5" spans="2:7" ht="19.2" x14ac:dyDescent="0.45">
      <c r="B5" s="13" t="s">
        <v>16</v>
      </c>
      <c r="C5" s="14" t="s">
        <v>75</v>
      </c>
      <c r="D5" s="14">
        <v>3.1</v>
      </c>
    </row>
    <row r="6" spans="2:7" ht="19.2" x14ac:dyDescent="0.45">
      <c r="B6" s="13" t="s">
        <v>19</v>
      </c>
      <c r="C6" s="14" t="s">
        <v>76</v>
      </c>
      <c r="D6" s="14">
        <v>3.2</v>
      </c>
    </row>
    <row r="7" spans="2:7" ht="19.2" x14ac:dyDescent="0.45">
      <c r="B7" s="13" t="s">
        <v>20</v>
      </c>
      <c r="C7" s="14" t="s">
        <v>75</v>
      </c>
      <c r="D7" s="14">
        <v>3.4</v>
      </c>
    </row>
  </sheetData>
  <mergeCells count="3">
    <mergeCell ref="B1:G1"/>
    <mergeCell ref="F2:G3"/>
    <mergeCell ref="F4:G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3" name="Check Box 1">
              <controlPr defaultSize="0" autoFill="0" autoLine="0" autoPict="0" altText="">
                <anchor moveWithCells="1">
                  <from>
                    <xdr:col>5</xdr:col>
                    <xdr:colOff>175260</xdr:colOff>
                    <xdr:row>0</xdr:row>
                    <xdr:rowOff>45720</xdr:rowOff>
                  </from>
                  <to>
                    <xdr:col>5</xdr:col>
                    <xdr:colOff>464820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AEEA-268B-4049-8D9A-411181D675C6}">
  <sheetPr>
    <tabColor theme="1"/>
  </sheetPr>
  <dimension ref="B1:G7"/>
  <sheetViews>
    <sheetView zoomScale="190" zoomScaleNormal="190" workbookViewId="0">
      <selection activeCell="F6" sqref="F6"/>
    </sheetView>
  </sheetViews>
  <sheetFormatPr defaultRowHeight="16.8" x14ac:dyDescent="0.4"/>
  <cols>
    <col min="1" max="1" width="1.796875" customWidth="1"/>
    <col min="2" max="2" width="11.3984375" customWidth="1"/>
    <col min="3" max="3" width="13" customWidth="1"/>
    <col min="4" max="4" width="10" customWidth="1"/>
    <col min="5" max="5" width="2.69921875" customWidth="1"/>
  </cols>
  <sheetData>
    <row r="1" spans="2:7" ht="25.5" customHeight="1" x14ac:dyDescent="0.4">
      <c r="B1" s="85" t="s">
        <v>80</v>
      </c>
      <c r="C1" s="85"/>
      <c r="D1" s="85"/>
      <c r="E1" s="85"/>
      <c r="F1" s="85"/>
      <c r="G1" s="85"/>
    </row>
    <row r="2" spans="2:7" ht="19.2" x14ac:dyDescent="0.45">
      <c r="B2" s="78" t="s">
        <v>4</v>
      </c>
      <c r="C2" s="78" t="s">
        <v>74</v>
      </c>
      <c r="D2" s="78" t="s">
        <v>78</v>
      </c>
      <c r="F2" s="86" t="s">
        <v>81</v>
      </c>
      <c r="G2" s="86"/>
    </row>
    <row r="3" spans="2:7" ht="19.2" x14ac:dyDescent="0.45">
      <c r="B3" s="13" t="s">
        <v>14</v>
      </c>
      <c r="C3" s="14" t="s">
        <v>75</v>
      </c>
      <c r="D3" s="14">
        <v>3.3</v>
      </c>
      <c r="F3" s="86"/>
      <c r="G3" s="86"/>
    </row>
    <row r="4" spans="2:7" ht="19.2" x14ac:dyDescent="0.45">
      <c r="B4" s="13" t="s">
        <v>15</v>
      </c>
      <c r="C4" s="14" t="s">
        <v>76</v>
      </c>
      <c r="D4" s="14">
        <v>3</v>
      </c>
      <c r="F4" s="87"/>
      <c r="G4" s="87"/>
    </row>
    <row r="5" spans="2:7" ht="19.2" x14ac:dyDescent="0.45">
      <c r="B5" s="13" t="s">
        <v>16</v>
      </c>
      <c r="C5" s="14" t="s">
        <v>75</v>
      </c>
      <c r="D5" s="14">
        <v>2.2000000000000002</v>
      </c>
    </row>
    <row r="6" spans="2:7" ht="19.2" x14ac:dyDescent="0.45">
      <c r="B6" s="13" t="s">
        <v>19</v>
      </c>
      <c r="C6" s="14" t="s">
        <v>76</v>
      </c>
      <c r="D6" s="14">
        <v>3.2</v>
      </c>
    </row>
    <row r="7" spans="2:7" ht="19.2" x14ac:dyDescent="0.45">
      <c r="B7" s="13" t="s">
        <v>20</v>
      </c>
      <c r="C7" s="14" t="s">
        <v>75</v>
      </c>
      <c r="D7" s="14">
        <v>3.4</v>
      </c>
    </row>
  </sheetData>
  <mergeCells count="3">
    <mergeCell ref="B1:G1"/>
    <mergeCell ref="F2:G3"/>
    <mergeCell ref="F4:G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3" name="Check Box 1">
              <controlPr defaultSize="0" autoFill="0" autoLine="0" autoPict="0" altText="">
                <anchor moveWithCells="1">
                  <from>
                    <xdr:col>5</xdr:col>
                    <xdr:colOff>144780</xdr:colOff>
                    <xdr:row>0</xdr:row>
                    <xdr:rowOff>60960</xdr:rowOff>
                  </from>
                  <to>
                    <xdr:col>5</xdr:col>
                    <xdr:colOff>441960</xdr:colOff>
                    <xdr:row>0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CD47-9D6E-4D8A-9E66-2B9B71410D75}">
  <sheetPr>
    <tabColor theme="1"/>
  </sheetPr>
  <dimension ref="B1:G7"/>
  <sheetViews>
    <sheetView zoomScale="190" zoomScaleNormal="190" workbookViewId="0">
      <selection activeCell="D2" sqref="B2:D2"/>
    </sheetView>
  </sheetViews>
  <sheetFormatPr defaultRowHeight="16.8" x14ac:dyDescent="0.4"/>
  <cols>
    <col min="1" max="1" width="1.796875" customWidth="1"/>
    <col min="2" max="2" width="11.3984375" customWidth="1"/>
    <col min="3" max="3" width="13" customWidth="1"/>
    <col min="4" max="4" width="10" customWidth="1"/>
    <col min="5" max="5" width="2.69921875" customWidth="1"/>
  </cols>
  <sheetData>
    <row r="1" spans="2:7" ht="25.5" customHeight="1" x14ac:dyDescent="0.4">
      <c r="B1" s="80" t="s">
        <v>82</v>
      </c>
      <c r="C1" s="80"/>
      <c r="D1" s="80"/>
      <c r="E1" s="80"/>
      <c r="F1" s="80"/>
      <c r="G1" s="80"/>
    </row>
    <row r="2" spans="2:7" ht="19.2" x14ac:dyDescent="0.45">
      <c r="B2" s="78" t="s">
        <v>4</v>
      </c>
      <c r="C2" s="78" t="s">
        <v>74</v>
      </c>
      <c r="D2" s="78" t="s">
        <v>78</v>
      </c>
      <c r="F2" s="86" t="s">
        <v>811</v>
      </c>
      <c r="G2" s="86"/>
    </row>
    <row r="3" spans="2:7" ht="19.2" x14ac:dyDescent="0.45">
      <c r="B3" s="13" t="s">
        <v>14</v>
      </c>
      <c r="C3" s="14" t="s">
        <v>75</v>
      </c>
      <c r="D3" s="14">
        <v>3.3</v>
      </c>
      <c r="F3" s="86"/>
      <c r="G3" s="86"/>
    </row>
    <row r="4" spans="2:7" ht="19.2" x14ac:dyDescent="0.45">
      <c r="B4" s="13" t="s">
        <v>15</v>
      </c>
      <c r="C4" s="14" t="s">
        <v>76</v>
      </c>
      <c r="D4" s="14">
        <v>3</v>
      </c>
      <c r="F4" s="87"/>
      <c r="G4" s="87"/>
    </row>
    <row r="5" spans="2:7" ht="19.2" x14ac:dyDescent="0.45">
      <c r="B5" s="13" t="s">
        <v>16</v>
      </c>
      <c r="C5" s="14" t="s">
        <v>75</v>
      </c>
      <c r="D5" s="14">
        <v>3.1</v>
      </c>
    </row>
    <row r="6" spans="2:7" ht="19.2" x14ac:dyDescent="0.45">
      <c r="B6" s="13" t="s">
        <v>19</v>
      </c>
      <c r="C6" s="14" t="s">
        <v>76</v>
      </c>
      <c r="D6" s="14">
        <v>3.2</v>
      </c>
    </row>
    <row r="7" spans="2:7" ht="19.2" x14ac:dyDescent="0.45">
      <c r="B7" s="13" t="s">
        <v>20</v>
      </c>
      <c r="C7" s="14" t="s">
        <v>75</v>
      </c>
      <c r="D7" s="14">
        <v>3.4</v>
      </c>
    </row>
  </sheetData>
  <mergeCells count="3">
    <mergeCell ref="B1:G1"/>
    <mergeCell ref="F2:G3"/>
    <mergeCell ref="F4:G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3" r:id="rId3" name="Check Box 3">
              <controlPr defaultSize="0" autoFill="0" autoLine="0" autoPict="0" altText="">
                <anchor moveWithCells="1">
                  <from>
                    <xdr:col>5</xdr:col>
                    <xdr:colOff>365760</xdr:colOff>
                    <xdr:row>0</xdr:row>
                    <xdr:rowOff>45720</xdr:rowOff>
                  </from>
                  <to>
                    <xdr:col>5</xdr:col>
                    <xdr:colOff>655320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9D8B-40DB-42ED-A572-D543ED52B060}">
  <sheetPr>
    <tabColor theme="1"/>
  </sheetPr>
  <dimension ref="B1:G7"/>
  <sheetViews>
    <sheetView zoomScale="190" zoomScaleNormal="190" workbookViewId="0">
      <selection activeCell="F5" sqref="F5"/>
    </sheetView>
  </sheetViews>
  <sheetFormatPr defaultRowHeight="16.8" x14ac:dyDescent="0.4"/>
  <cols>
    <col min="1" max="1" width="1.796875" customWidth="1"/>
    <col min="2" max="2" width="11.3984375" customWidth="1"/>
    <col min="3" max="3" width="13" customWidth="1"/>
    <col min="4" max="4" width="10" customWidth="1"/>
    <col min="5" max="5" width="2.69921875" customWidth="1"/>
  </cols>
  <sheetData>
    <row r="1" spans="2:7" ht="25.5" customHeight="1" x14ac:dyDescent="0.4">
      <c r="B1" s="80" t="s">
        <v>93</v>
      </c>
      <c r="C1" s="80"/>
      <c r="D1" s="80"/>
      <c r="E1" s="80"/>
      <c r="F1" s="80"/>
      <c r="G1" s="80"/>
    </row>
    <row r="2" spans="2:7" ht="19.2" x14ac:dyDescent="0.45">
      <c r="B2" s="78" t="s">
        <v>4</v>
      </c>
      <c r="C2" s="78" t="s">
        <v>74</v>
      </c>
      <c r="D2" s="78" t="s">
        <v>78</v>
      </c>
      <c r="F2" s="86" t="s">
        <v>83</v>
      </c>
      <c r="G2" s="86"/>
    </row>
    <row r="3" spans="2:7" ht="19.2" x14ac:dyDescent="0.45">
      <c r="B3" s="13" t="s">
        <v>14</v>
      </c>
      <c r="C3" s="14" t="s">
        <v>75</v>
      </c>
      <c r="D3" s="14">
        <v>3.3</v>
      </c>
      <c r="F3" s="86"/>
      <c r="G3" s="86"/>
    </row>
    <row r="4" spans="2:7" ht="19.2" x14ac:dyDescent="0.45">
      <c r="B4" s="13" t="s">
        <v>15</v>
      </c>
      <c r="C4" s="14" t="s">
        <v>76</v>
      </c>
      <c r="D4" s="14">
        <v>3</v>
      </c>
      <c r="F4" s="87"/>
      <c r="G4" s="87"/>
    </row>
    <row r="5" spans="2:7" ht="19.2" x14ac:dyDescent="0.45">
      <c r="B5" s="13" t="s">
        <v>16</v>
      </c>
      <c r="C5" s="14" t="s">
        <v>75</v>
      </c>
      <c r="D5" s="14">
        <v>3.1</v>
      </c>
    </row>
    <row r="6" spans="2:7" ht="19.2" x14ac:dyDescent="0.45">
      <c r="B6" s="13" t="s">
        <v>19</v>
      </c>
      <c r="C6" s="14" t="s">
        <v>76</v>
      </c>
      <c r="D6" s="14">
        <v>3.2</v>
      </c>
    </row>
    <row r="7" spans="2:7" ht="19.2" x14ac:dyDescent="0.45">
      <c r="B7" s="13" t="s">
        <v>20</v>
      </c>
      <c r="C7" s="14" t="s">
        <v>75</v>
      </c>
      <c r="D7" s="14">
        <v>3.4</v>
      </c>
    </row>
  </sheetData>
  <mergeCells count="3">
    <mergeCell ref="B1:G1"/>
    <mergeCell ref="F2:G3"/>
    <mergeCell ref="F4:G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6" r:id="rId3" name="Check Box 2">
              <controlPr defaultSize="0" autoFill="0" autoLine="0" autoPict="0" altText="">
                <anchor moveWithCells="1">
                  <from>
                    <xdr:col>5</xdr:col>
                    <xdr:colOff>365760</xdr:colOff>
                    <xdr:row>0</xdr:row>
                    <xdr:rowOff>45720</xdr:rowOff>
                  </from>
                  <to>
                    <xdr:col>5</xdr:col>
                    <xdr:colOff>655320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EB62-AD09-4150-BD07-64EE0A6A084E}">
  <sheetPr>
    <tabColor theme="1"/>
  </sheetPr>
  <dimension ref="B1:G7"/>
  <sheetViews>
    <sheetView zoomScale="205" zoomScaleNormal="205" workbookViewId="0">
      <selection activeCell="G8" sqref="G8"/>
    </sheetView>
  </sheetViews>
  <sheetFormatPr defaultRowHeight="16.8" x14ac:dyDescent="0.4"/>
  <cols>
    <col min="1" max="1" width="1.3984375" customWidth="1"/>
    <col min="4" max="4" width="11.19921875" customWidth="1"/>
    <col min="5" max="5" width="2" customWidth="1"/>
    <col min="6" max="6" width="7.19921875" customWidth="1"/>
    <col min="7" max="7" width="10.19921875" bestFit="1" customWidth="1"/>
  </cols>
  <sheetData>
    <row r="1" spans="2:7" ht="21" customHeight="1" x14ac:dyDescent="0.4">
      <c r="B1" s="80" t="s">
        <v>62</v>
      </c>
      <c r="C1" s="80"/>
      <c r="D1" s="80"/>
      <c r="E1" s="80"/>
      <c r="F1" s="80"/>
      <c r="G1" s="80"/>
    </row>
    <row r="2" spans="2:7" x14ac:dyDescent="0.4">
      <c r="B2" s="77" t="s">
        <v>4</v>
      </c>
      <c r="C2" s="77" t="s">
        <v>22</v>
      </c>
      <c r="D2" s="6" t="s">
        <v>23</v>
      </c>
      <c r="F2" s="88" t="s">
        <v>28</v>
      </c>
      <c r="G2" s="88"/>
    </row>
    <row r="3" spans="2:7" x14ac:dyDescent="0.4">
      <c r="B3" s="7" t="s">
        <v>14</v>
      </c>
      <c r="C3" s="8">
        <v>7</v>
      </c>
      <c r="D3" s="11"/>
      <c r="F3" s="8" t="s">
        <v>25</v>
      </c>
      <c r="G3" s="8" t="s">
        <v>27</v>
      </c>
    </row>
    <row r="4" spans="2:7" x14ac:dyDescent="0.4">
      <c r="B4" s="7" t="s">
        <v>15</v>
      </c>
      <c r="C4" s="8">
        <v>8</v>
      </c>
      <c r="D4" s="11"/>
      <c r="F4" s="12" t="s">
        <v>24</v>
      </c>
      <c r="G4" s="8" t="s">
        <v>26</v>
      </c>
    </row>
    <row r="5" spans="2:7" x14ac:dyDescent="0.4">
      <c r="B5" s="7" t="s">
        <v>16</v>
      </c>
      <c r="C5" s="8">
        <v>10</v>
      </c>
      <c r="D5" s="11"/>
    </row>
    <row r="6" spans="2:7" x14ac:dyDescent="0.4">
      <c r="B6" s="7" t="s">
        <v>19</v>
      </c>
      <c r="C6" s="8">
        <v>6</v>
      </c>
      <c r="D6" s="11"/>
    </row>
    <row r="7" spans="2:7" x14ac:dyDescent="0.4">
      <c r="B7" s="7" t="s">
        <v>127</v>
      </c>
      <c r="C7" s="8">
        <v>9</v>
      </c>
      <c r="D7" s="11"/>
    </row>
  </sheetData>
  <mergeCells count="2">
    <mergeCell ref="F2:G2"/>
    <mergeCell ref="B1:G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3" name="Check Box 2">
              <controlPr defaultSize="0" autoFill="0" autoLine="0" autoPict="0" altText="">
                <anchor moveWithCells="1">
                  <from>
                    <xdr:col>6</xdr:col>
                    <xdr:colOff>182880</xdr:colOff>
                    <xdr:row>0</xdr:row>
                    <xdr:rowOff>22860</xdr:rowOff>
                  </from>
                  <to>
                    <xdr:col>6</xdr:col>
                    <xdr:colOff>480060</xdr:colOff>
                    <xdr:row>0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C3EB-C24A-4491-8CF1-147E0378BDA2}">
  <sheetPr>
    <tabColor theme="1"/>
  </sheetPr>
  <dimension ref="B1:G6"/>
  <sheetViews>
    <sheetView zoomScale="220" zoomScaleNormal="220" workbookViewId="0">
      <selection activeCell="D3" sqref="D3:D6"/>
    </sheetView>
  </sheetViews>
  <sheetFormatPr defaultRowHeight="16.8" x14ac:dyDescent="0.4"/>
  <cols>
    <col min="1" max="1" width="1.3984375" customWidth="1"/>
    <col min="4" max="4" width="11.19921875" customWidth="1"/>
    <col min="5" max="5" width="2" customWidth="1"/>
    <col min="6" max="6" width="7.19921875" customWidth="1"/>
    <col min="7" max="7" width="9.3984375" customWidth="1"/>
  </cols>
  <sheetData>
    <row r="1" spans="2:7" ht="21" customHeight="1" x14ac:dyDescent="0.4">
      <c r="B1" s="89" t="s">
        <v>131</v>
      </c>
      <c r="C1" s="89"/>
      <c r="D1" s="89"/>
      <c r="E1" s="89"/>
      <c r="F1" s="89"/>
      <c r="G1" s="89"/>
    </row>
    <row r="2" spans="2:7" x14ac:dyDescent="0.4">
      <c r="B2" s="5" t="s">
        <v>4</v>
      </c>
      <c r="C2" s="5" t="s">
        <v>22</v>
      </c>
      <c r="D2" s="6" t="s">
        <v>23</v>
      </c>
      <c r="F2" s="90" t="s">
        <v>28</v>
      </c>
      <c r="G2" s="90"/>
    </row>
    <row r="3" spans="2:7" x14ac:dyDescent="0.4">
      <c r="B3" s="7" t="s">
        <v>14</v>
      </c>
      <c r="C3" s="8" t="s">
        <v>132</v>
      </c>
      <c r="D3" s="11"/>
      <c r="F3" s="8" t="s">
        <v>132</v>
      </c>
      <c r="G3" s="8" t="s">
        <v>137</v>
      </c>
    </row>
    <row r="4" spans="2:7" x14ac:dyDescent="0.4">
      <c r="B4" s="7" t="s">
        <v>15</v>
      </c>
      <c r="C4" s="8" t="s">
        <v>133</v>
      </c>
      <c r="D4" s="11"/>
      <c r="F4" s="12" t="s">
        <v>133</v>
      </c>
      <c r="G4" s="8" t="s">
        <v>135</v>
      </c>
    </row>
    <row r="5" spans="2:7" x14ac:dyDescent="0.4">
      <c r="B5" s="7" t="s">
        <v>16</v>
      </c>
      <c r="C5" s="8" t="s">
        <v>134</v>
      </c>
      <c r="D5" s="11"/>
      <c r="F5" s="8" t="s">
        <v>134</v>
      </c>
      <c r="G5" s="8" t="s">
        <v>136</v>
      </c>
    </row>
    <row r="6" spans="2:7" x14ac:dyDescent="0.4">
      <c r="B6" s="7" t="s">
        <v>19</v>
      </c>
      <c r="C6" s="8" t="s">
        <v>134</v>
      </c>
      <c r="D6" s="11"/>
    </row>
  </sheetData>
  <mergeCells count="2">
    <mergeCell ref="B1:G1"/>
    <mergeCell ref="F2:G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537" r:id="rId3" name="Check Box 1">
              <controlPr defaultSize="0" autoFill="0" autoLine="0" autoPict="0" altText="">
                <anchor moveWithCells="1">
                  <from>
                    <xdr:col>6</xdr:col>
                    <xdr:colOff>312420</xdr:colOff>
                    <xdr:row>0</xdr:row>
                    <xdr:rowOff>22860</xdr:rowOff>
                  </from>
                  <to>
                    <xdr:col>6</xdr:col>
                    <xdr:colOff>609600</xdr:colOff>
                    <xdr:row>0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29EE-AFA1-48AA-81FD-EB2C55521E85}">
  <sheetPr>
    <tabColor theme="1"/>
  </sheetPr>
  <dimension ref="B1:J1000"/>
  <sheetViews>
    <sheetView zoomScale="160" zoomScaleNormal="160" workbookViewId="0">
      <selection activeCell="G4" sqref="G4:G10"/>
    </sheetView>
  </sheetViews>
  <sheetFormatPr defaultColWidth="11.19921875" defaultRowHeight="16.8" x14ac:dyDescent="0.4"/>
  <cols>
    <col min="1" max="1" width="0.3984375" style="16" customWidth="1"/>
    <col min="2" max="2" width="3.3984375" style="16" customWidth="1"/>
    <col min="3" max="3" width="11.69921875" style="16" customWidth="1"/>
    <col min="4" max="6" width="6.8984375" style="20" customWidth="1"/>
    <col min="7" max="7" width="11.69921875" style="16" customWidth="1"/>
    <col min="8" max="8" width="1.796875" style="16" customWidth="1"/>
    <col min="9" max="9" width="11.19921875" style="16"/>
    <col min="10" max="10" width="11.69921875" style="16" customWidth="1"/>
    <col min="11" max="16384" width="11.19921875" style="16"/>
  </cols>
  <sheetData>
    <row r="1" spans="2:10" ht="26.25" customHeight="1" x14ac:dyDescent="0.4">
      <c r="B1" s="91" t="s">
        <v>565</v>
      </c>
      <c r="C1" s="91"/>
      <c r="D1" s="91"/>
      <c r="E1" s="91"/>
      <c r="F1" s="91"/>
      <c r="G1" s="91"/>
      <c r="H1" s="91"/>
      <c r="I1" s="91"/>
      <c r="J1" s="91"/>
    </row>
    <row r="2" spans="2:10" ht="15.75" customHeight="1" x14ac:dyDescent="0.4">
      <c r="B2" s="94" t="s">
        <v>36</v>
      </c>
      <c r="C2" s="94" t="s">
        <v>138</v>
      </c>
      <c r="D2" s="96" t="s">
        <v>22</v>
      </c>
      <c r="E2" s="96"/>
      <c r="F2" s="96"/>
      <c r="G2" s="97" t="s">
        <v>23</v>
      </c>
      <c r="I2" s="16" t="s">
        <v>23</v>
      </c>
    </row>
    <row r="3" spans="2:10" x14ac:dyDescent="0.4">
      <c r="B3" s="95"/>
      <c r="C3" s="95"/>
      <c r="D3" s="62" t="s">
        <v>139</v>
      </c>
      <c r="E3" s="9" t="s">
        <v>140</v>
      </c>
      <c r="F3" s="9" t="s">
        <v>141</v>
      </c>
      <c r="G3" s="98"/>
      <c r="I3" s="96" t="s">
        <v>142</v>
      </c>
      <c r="J3" s="96"/>
    </row>
    <row r="4" spans="2:10" ht="16.5" customHeight="1" x14ac:dyDescent="0.4">
      <c r="B4" s="18">
        <v>1</v>
      </c>
      <c r="C4" s="19" t="s">
        <v>14</v>
      </c>
      <c r="D4" s="18">
        <v>100</v>
      </c>
      <c r="E4" s="18">
        <v>100</v>
      </c>
      <c r="F4" s="18">
        <v>100</v>
      </c>
      <c r="G4" s="61"/>
      <c r="I4" s="92" t="s">
        <v>812</v>
      </c>
      <c r="J4" s="92"/>
    </row>
    <row r="5" spans="2:10" ht="16.5" customHeight="1" x14ac:dyDescent="0.4">
      <c r="B5" s="18">
        <v>2</v>
      </c>
      <c r="C5" s="19" t="s">
        <v>29</v>
      </c>
      <c r="D5" s="18">
        <v>79</v>
      </c>
      <c r="E5" s="18">
        <v>50</v>
      </c>
      <c r="F5" s="18">
        <v>96</v>
      </c>
      <c r="G5" s="61"/>
      <c r="I5" s="92" t="s">
        <v>813</v>
      </c>
      <c r="J5" s="92"/>
    </row>
    <row r="6" spans="2:10" ht="16.5" customHeight="1" x14ac:dyDescent="0.4">
      <c r="B6" s="18">
        <v>3</v>
      </c>
      <c r="C6" s="19" t="s">
        <v>126</v>
      </c>
      <c r="D6" s="18">
        <v>100</v>
      </c>
      <c r="E6" s="18">
        <v>100</v>
      </c>
      <c r="F6" s="18">
        <v>61</v>
      </c>
      <c r="G6" s="61"/>
      <c r="I6" s="92" t="s">
        <v>814</v>
      </c>
      <c r="J6" s="92"/>
    </row>
    <row r="7" spans="2:10" ht="16.5" customHeight="1" x14ac:dyDescent="0.4">
      <c r="B7" s="18">
        <v>4</v>
      </c>
      <c r="C7" s="19" t="s">
        <v>19</v>
      </c>
      <c r="D7" s="18">
        <v>90</v>
      </c>
      <c r="E7" s="18">
        <v>95</v>
      </c>
      <c r="F7" s="18">
        <v>92</v>
      </c>
      <c r="G7" s="61"/>
      <c r="I7" s="93" t="s">
        <v>143</v>
      </c>
      <c r="J7" s="93"/>
    </row>
    <row r="8" spans="2:10" ht="16.5" customHeight="1" x14ac:dyDescent="0.4">
      <c r="B8" s="18">
        <v>5</v>
      </c>
      <c r="C8" s="19" t="s">
        <v>16</v>
      </c>
      <c r="D8" s="18">
        <v>88</v>
      </c>
      <c r="E8" s="18">
        <v>40</v>
      </c>
      <c r="F8" s="18">
        <v>70</v>
      </c>
      <c r="G8" s="61"/>
      <c r="I8" s="93"/>
      <c r="J8" s="93"/>
    </row>
    <row r="9" spans="2:10" ht="16.5" customHeight="1" x14ac:dyDescent="0.4">
      <c r="B9" s="18">
        <v>6</v>
      </c>
      <c r="C9" s="19" t="s">
        <v>127</v>
      </c>
      <c r="D9" s="18">
        <v>90</v>
      </c>
      <c r="E9" s="18">
        <v>95</v>
      </c>
      <c r="F9" s="18">
        <v>92</v>
      </c>
      <c r="G9" s="61"/>
    </row>
    <row r="10" spans="2:10" ht="16.5" customHeight="1" x14ac:dyDescent="0.4">
      <c r="B10" s="18">
        <v>7</v>
      </c>
      <c r="C10" s="19" t="s">
        <v>20</v>
      </c>
      <c r="D10" s="18">
        <v>88</v>
      </c>
      <c r="E10" s="18">
        <v>90</v>
      </c>
      <c r="F10" s="18">
        <v>70</v>
      </c>
      <c r="G10" s="61"/>
    </row>
    <row r="11" spans="2:10" ht="16.5" customHeight="1" x14ac:dyDescent="0.4">
      <c r="D11" s="16"/>
      <c r="E11" s="16"/>
      <c r="F11" s="16"/>
    </row>
    <row r="12" spans="2:10" ht="16.5" customHeight="1" x14ac:dyDescent="0.4">
      <c r="D12" s="16"/>
      <c r="E12" s="16"/>
      <c r="F12" s="16"/>
    </row>
    <row r="13" spans="2:10" x14ac:dyDescent="0.4">
      <c r="D13" s="16"/>
      <c r="E13" s="16"/>
      <c r="F13" s="16"/>
    </row>
    <row r="14" spans="2:10" x14ac:dyDescent="0.4">
      <c r="D14" s="16"/>
      <c r="E14" s="16"/>
      <c r="F14" s="16"/>
    </row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" customHeight="1" x14ac:dyDescent="0.4"/>
    <row r="993" ht="15" customHeight="1" x14ac:dyDescent="0.4"/>
    <row r="994" ht="15" customHeight="1" x14ac:dyDescent="0.4"/>
    <row r="995" ht="15" customHeight="1" x14ac:dyDescent="0.4"/>
    <row r="996" ht="15" customHeight="1" x14ac:dyDescent="0.4"/>
    <row r="997" ht="15" customHeight="1" x14ac:dyDescent="0.4"/>
    <row r="998" ht="15" customHeight="1" x14ac:dyDescent="0.4"/>
    <row r="999" ht="15" customHeight="1" x14ac:dyDescent="0.4"/>
    <row r="1000" ht="15" customHeight="1" x14ac:dyDescent="0.4"/>
  </sheetData>
  <mergeCells count="10">
    <mergeCell ref="B1:J1"/>
    <mergeCell ref="I4:J4"/>
    <mergeCell ref="I5:J5"/>
    <mergeCell ref="I6:J6"/>
    <mergeCell ref="I7:J8"/>
    <mergeCell ref="B2:B3"/>
    <mergeCell ref="C2:C3"/>
    <mergeCell ref="D2:F2"/>
    <mergeCell ref="G2:G3"/>
    <mergeCell ref="I3:J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61" r:id="rId3" name="Check Box 1">
              <controlPr defaultSize="0" autoFill="0" autoLine="0" autoPict="0" altText="">
                <anchor moveWithCells="1">
                  <from>
                    <xdr:col>9</xdr:col>
                    <xdr:colOff>289560</xdr:colOff>
                    <xdr:row>0</xdr:row>
                    <xdr:rowOff>45720</xdr:rowOff>
                  </from>
                  <to>
                    <xdr:col>9</xdr:col>
                    <xdr:colOff>579120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31AE-3176-46C8-B0F4-C8A4AA181BE1}">
  <sheetPr>
    <tabColor theme="1"/>
  </sheetPr>
  <dimension ref="B1:J1000"/>
  <sheetViews>
    <sheetView zoomScale="130" zoomScaleNormal="130" workbookViewId="0">
      <selection activeCell="F3" sqref="F3:F12"/>
    </sheetView>
  </sheetViews>
  <sheetFormatPr defaultColWidth="11.19921875" defaultRowHeight="16.8" x14ac:dyDescent="0.4"/>
  <cols>
    <col min="1" max="1" width="0.796875" style="16" customWidth="1"/>
    <col min="2" max="2" width="3.3984375" style="16" customWidth="1"/>
    <col min="3" max="3" width="12.59765625" style="16" customWidth="1"/>
    <col min="4" max="5" width="9.796875" style="20" customWidth="1"/>
    <col min="6" max="6" width="12.8984375" style="16" customWidth="1"/>
    <col min="7" max="7" width="2.796875" style="16" customWidth="1"/>
    <col min="8" max="8" width="9.796875" style="16" bestFit="1" customWidth="1"/>
    <col min="9" max="9" width="29.69921875" style="16" customWidth="1"/>
    <col min="10" max="16384" width="11.19921875" style="16"/>
  </cols>
  <sheetData>
    <row r="1" spans="2:10" ht="21.75" customHeight="1" x14ac:dyDescent="0.4">
      <c r="B1" s="91" t="s">
        <v>566</v>
      </c>
      <c r="C1" s="91"/>
      <c r="D1" s="91"/>
      <c r="E1" s="91"/>
      <c r="F1" s="91"/>
      <c r="G1" s="91"/>
      <c r="H1" s="91"/>
      <c r="I1" s="91"/>
    </row>
    <row r="2" spans="2:10" x14ac:dyDescent="0.4">
      <c r="B2" s="63" t="s">
        <v>36</v>
      </c>
      <c r="C2" s="63" t="s">
        <v>150</v>
      </c>
      <c r="D2" s="9" t="s">
        <v>151</v>
      </c>
      <c r="E2" s="9" t="s">
        <v>152</v>
      </c>
      <c r="F2" s="21" t="s">
        <v>23</v>
      </c>
      <c r="H2" s="100" t="s">
        <v>23</v>
      </c>
      <c r="I2" s="100"/>
    </row>
    <row r="3" spans="2:10" x14ac:dyDescent="0.4">
      <c r="B3" s="18">
        <v>1</v>
      </c>
      <c r="C3" s="19" t="s">
        <v>14</v>
      </c>
      <c r="D3" s="18" t="s">
        <v>153</v>
      </c>
      <c r="E3" s="18" t="s">
        <v>154</v>
      </c>
      <c r="F3" s="61"/>
      <c r="H3" s="99" t="s">
        <v>155</v>
      </c>
      <c r="I3" s="99"/>
    </row>
    <row r="4" spans="2:10" ht="16.5" customHeight="1" x14ac:dyDescent="0.4">
      <c r="B4" s="18">
        <v>2</v>
      </c>
      <c r="C4" s="19" t="s">
        <v>29</v>
      </c>
      <c r="D4" s="18" t="s">
        <v>156</v>
      </c>
      <c r="E4" s="18" t="s">
        <v>158</v>
      </c>
      <c r="F4" s="61"/>
      <c r="H4" s="100" t="s">
        <v>163</v>
      </c>
      <c r="I4" s="100"/>
    </row>
    <row r="5" spans="2:10" ht="16.5" customHeight="1" x14ac:dyDescent="0.4">
      <c r="B5" s="18">
        <v>3</v>
      </c>
      <c r="C5" s="19" t="s">
        <v>126</v>
      </c>
      <c r="D5" s="18" t="s">
        <v>157</v>
      </c>
      <c r="E5" s="18" t="s">
        <v>158</v>
      </c>
      <c r="F5" s="61"/>
      <c r="H5" s="99" t="s">
        <v>159</v>
      </c>
      <c r="I5" s="99"/>
    </row>
    <row r="6" spans="2:10" ht="16.5" customHeight="1" x14ac:dyDescent="0.4">
      <c r="B6" s="18">
        <v>4</v>
      </c>
      <c r="C6" s="19" t="s">
        <v>19</v>
      </c>
      <c r="D6" s="18" t="s">
        <v>156</v>
      </c>
      <c r="E6" s="18" t="s">
        <v>158</v>
      </c>
      <c r="F6" s="61"/>
    </row>
    <row r="7" spans="2:10" ht="16.5" customHeight="1" x14ac:dyDescent="0.4">
      <c r="B7" s="18">
        <v>5</v>
      </c>
      <c r="C7" s="19" t="s">
        <v>16</v>
      </c>
      <c r="D7" s="18" t="s">
        <v>160</v>
      </c>
      <c r="E7" s="18" t="s">
        <v>154</v>
      </c>
      <c r="F7" s="61"/>
      <c r="J7" s="17"/>
    </row>
    <row r="8" spans="2:10" ht="16.5" customHeight="1" x14ac:dyDescent="0.4">
      <c r="B8" s="18">
        <v>6</v>
      </c>
      <c r="C8" s="19" t="s">
        <v>144</v>
      </c>
      <c r="D8" s="18" t="s">
        <v>161</v>
      </c>
      <c r="E8" s="18" t="s">
        <v>154</v>
      </c>
      <c r="F8" s="61"/>
    </row>
    <row r="9" spans="2:10" ht="16.5" customHeight="1" x14ac:dyDescent="0.4">
      <c r="B9" s="18">
        <v>7</v>
      </c>
      <c r="C9" s="19" t="s">
        <v>145</v>
      </c>
      <c r="D9" s="18" t="s">
        <v>157</v>
      </c>
      <c r="E9" s="18" t="s">
        <v>158</v>
      </c>
      <c r="F9" s="61"/>
    </row>
    <row r="10" spans="2:10" ht="16.5" customHeight="1" x14ac:dyDescent="0.4">
      <c r="B10" s="18">
        <v>8</v>
      </c>
      <c r="C10" s="19" t="s">
        <v>146</v>
      </c>
      <c r="D10" s="18" t="s">
        <v>153</v>
      </c>
      <c r="E10" s="18" t="s">
        <v>158</v>
      </c>
      <c r="F10" s="61"/>
    </row>
    <row r="11" spans="2:10" ht="16.5" customHeight="1" x14ac:dyDescent="0.4">
      <c r="B11" s="18">
        <v>9</v>
      </c>
      <c r="C11" s="19" t="s">
        <v>147</v>
      </c>
      <c r="D11" s="18" t="s">
        <v>160</v>
      </c>
      <c r="E11" s="18" t="s">
        <v>158</v>
      </c>
      <c r="F11" s="61"/>
    </row>
    <row r="12" spans="2:10" ht="16.5" customHeight="1" x14ac:dyDescent="0.4">
      <c r="B12" s="18">
        <v>10</v>
      </c>
      <c r="C12" s="19" t="s">
        <v>148</v>
      </c>
      <c r="D12" s="18" t="s">
        <v>157</v>
      </c>
      <c r="E12" s="18" t="s">
        <v>154</v>
      </c>
      <c r="F12" s="61"/>
    </row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" customHeight="1" x14ac:dyDescent="0.4"/>
    <row r="993" ht="15" customHeight="1" x14ac:dyDescent="0.4"/>
    <row r="994" ht="15" customHeight="1" x14ac:dyDescent="0.4"/>
    <row r="995" ht="15" customHeight="1" x14ac:dyDescent="0.4"/>
    <row r="996" ht="15" customHeight="1" x14ac:dyDescent="0.4"/>
    <row r="997" ht="15" customHeight="1" x14ac:dyDescent="0.4"/>
    <row r="998" ht="15" customHeight="1" x14ac:dyDescent="0.4"/>
    <row r="999" ht="15" customHeight="1" x14ac:dyDescent="0.4"/>
    <row r="1000" ht="15" customHeight="1" x14ac:dyDescent="0.4"/>
  </sheetData>
  <mergeCells count="5">
    <mergeCell ref="H3:I3"/>
    <mergeCell ref="H4:I4"/>
    <mergeCell ref="H5:I5"/>
    <mergeCell ref="H2:I2"/>
    <mergeCell ref="B1:I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7585" r:id="rId3" name="Check Box 1">
              <controlPr defaultSize="0" autoFill="0" autoLine="0" autoPict="0" altText="">
                <anchor moveWithCells="1">
                  <from>
                    <xdr:col>8</xdr:col>
                    <xdr:colOff>914400</xdr:colOff>
                    <xdr:row>0</xdr:row>
                    <xdr:rowOff>7620</xdr:rowOff>
                  </from>
                  <to>
                    <xdr:col>8</xdr:col>
                    <xdr:colOff>1203960</xdr:colOff>
                    <xdr:row>0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3303-494F-45D1-B453-48540ADFBFDF}">
  <sheetPr>
    <tabColor theme="1"/>
  </sheetPr>
  <dimension ref="B1:G169"/>
  <sheetViews>
    <sheetView zoomScale="160" zoomScaleNormal="160" workbookViewId="0">
      <selection activeCell="D3" sqref="D3"/>
    </sheetView>
  </sheetViews>
  <sheetFormatPr defaultRowHeight="16.8" x14ac:dyDescent="0.4"/>
  <cols>
    <col min="1" max="1" width="1.59765625" customWidth="1"/>
    <col min="2" max="2" width="15.8984375" bestFit="1" customWidth="1"/>
    <col min="4" max="4" width="11" bestFit="1" customWidth="1"/>
    <col min="6" max="6" width="3.69921875" customWidth="1"/>
    <col min="7" max="7" width="15.8984375" customWidth="1"/>
  </cols>
  <sheetData>
    <row r="1" spans="2:7" ht="29.25" customHeight="1" x14ac:dyDescent="0.4">
      <c r="B1" s="101" t="s">
        <v>59</v>
      </c>
      <c r="C1" s="101"/>
      <c r="D1" s="101"/>
      <c r="E1" s="101"/>
      <c r="F1" s="101"/>
      <c r="G1" s="101"/>
    </row>
    <row r="2" spans="2:7" x14ac:dyDescent="0.4">
      <c r="B2" s="9" t="s">
        <v>567</v>
      </c>
      <c r="D2" s="6" t="s">
        <v>568</v>
      </c>
    </row>
    <row r="3" spans="2:7" x14ac:dyDescent="0.4">
      <c r="B3" s="8">
        <v>40012001</v>
      </c>
      <c r="D3" s="8"/>
    </row>
    <row r="4" spans="2:7" x14ac:dyDescent="0.4">
      <c r="B4" s="8"/>
    </row>
    <row r="5" spans="2:7" x14ac:dyDescent="0.4">
      <c r="B5" s="8"/>
    </row>
    <row r="6" spans="2:7" x14ac:dyDescent="0.4">
      <c r="B6" s="8">
        <v>40012004</v>
      </c>
    </row>
    <row r="7" spans="2:7" x14ac:dyDescent="0.4">
      <c r="B7" s="8">
        <v>40012005</v>
      </c>
    </row>
    <row r="8" spans="2:7" x14ac:dyDescent="0.4">
      <c r="B8" s="8">
        <v>40012006</v>
      </c>
    </row>
    <row r="9" spans="2:7" x14ac:dyDescent="0.4">
      <c r="B9" s="8">
        <v>40012007</v>
      </c>
    </row>
    <row r="10" spans="2:7" x14ac:dyDescent="0.4">
      <c r="B10" s="8">
        <v>40012008</v>
      </c>
    </row>
    <row r="11" spans="2:7" x14ac:dyDescent="0.4">
      <c r="B11" s="8">
        <v>40012009</v>
      </c>
    </row>
    <row r="12" spans="2:7" x14ac:dyDescent="0.4">
      <c r="B12" s="8">
        <v>40012010</v>
      </c>
    </row>
    <row r="13" spans="2:7" x14ac:dyDescent="0.4">
      <c r="B13" s="8">
        <v>40012011</v>
      </c>
    </row>
    <row r="14" spans="2:7" x14ac:dyDescent="0.4">
      <c r="B14" s="8">
        <v>40012012</v>
      </c>
    </row>
    <row r="15" spans="2:7" x14ac:dyDescent="0.4">
      <c r="B15" s="8">
        <v>40012013</v>
      </c>
    </row>
    <row r="16" spans="2:7" x14ac:dyDescent="0.4">
      <c r="B16" s="8">
        <v>40012014</v>
      </c>
    </row>
    <row r="17" spans="2:2" x14ac:dyDescent="0.4">
      <c r="B17" s="8">
        <v>40012015</v>
      </c>
    </row>
    <row r="18" spans="2:2" x14ac:dyDescent="0.4">
      <c r="B18" s="8">
        <v>40012016</v>
      </c>
    </row>
    <row r="19" spans="2:2" x14ac:dyDescent="0.4">
      <c r="B19" s="8">
        <v>40012017</v>
      </c>
    </row>
    <row r="20" spans="2:2" x14ac:dyDescent="0.4">
      <c r="B20" s="8">
        <v>40012018</v>
      </c>
    </row>
    <row r="21" spans="2:2" x14ac:dyDescent="0.4">
      <c r="B21" s="8">
        <v>40012019</v>
      </c>
    </row>
    <row r="22" spans="2:2" x14ac:dyDescent="0.4">
      <c r="B22" s="8">
        <v>40012020</v>
      </c>
    </row>
    <row r="23" spans="2:2" x14ac:dyDescent="0.4">
      <c r="B23" s="8">
        <v>40012021</v>
      </c>
    </row>
    <row r="24" spans="2:2" x14ac:dyDescent="0.4">
      <c r="B24" s="8">
        <v>40012022</v>
      </c>
    </row>
    <row r="25" spans="2:2" x14ac:dyDescent="0.4">
      <c r="B25" s="8">
        <v>40012023</v>
      </c>
    </row>
    <row r="26" spans="2:2" x14ac:dyDescent="0.4">
      <c r="B26" s="8">
        <v>40012024</v>
      </c>
    </row>
    <row r="27" spans="2:2" x14ac:dyDescent="0.4">
      <c r="B27" s="8">
        <v>40012025</v>
      </c>
    </row>
    <row r="28" spans="2:2" x14ac:dyDescent="0.4">
      <c r="B28" s="8">
        <v>40012026</v>
      </c>
    </row>
    <row r="29" spans="2:2" x14ac:dyDescent="0.4">
      <c r="B29" s="8">
        <v>40012027</v>
      </c>
    </row>
    <row r="30" spans="2:2" x14ac:dyDescent="0.4">
      <c r="B30" s="8">
        <v>40012028</v>
      </c>
    </row>
    <row r="31" spans="2:2" x14ac:dyDescent="0.4">
      <c r="B31" s="8">
        <v>40012029</v>
      </c>
    </row>
    <row r="32" spans="2:2" x14ac:dyDescent="0.4">
      <c r="B32" s="8">
        <v>40012030</v>
      </c>
    </row>
    <row r="33" spans="2:2" x14ac:dyDescent="0.4">
      <c r="B33" s="8">
        <v>40012031</v>
      </c>
    </row>
    <row r="34" spans="2:2" x14ac:dyDescent="0.4">
      <c r="B34" s="8">
        <v>40012032</v>
      </c>
    </row>
    <row r="35" spans="2:2" x14ac:dyDescent="0.4">
      <c r="B35" s="8">
        <v>40012033</v>
      </c>
    </row>
    <row r="36" spans="2:2" x14ac:dyDescent="0.4">
      <c r="B36" s="8">
        <v>40012034</v>
      </c>
    </row>
    <row r="37" spans="2:2" x14ac:dyDescent="0.4">
      <c r="B37" s="8">
        <v>40012035</v>
      </c>
    </row>
    <row r="38" spans="2:2" x14ac:dyDescent="0.4">
      <c r="B38" s="8">
        <v>40012036</v>
      </c>
    </row>
    <row r="39" spans="2:2" x14ac:dyDescent="0.4">
      <c r="B39" s="8">
        <v>40012037</v>
      </c>
    </row>
    <row r="40" spans="2:2" x14ac:dyDescent="0.4">
      <c r="B40" s="8">
        <v>40012038</v>
      </c>
    </row>
    <row r="41" spans="2:2" x14ac:dyDescent="0.4">
      <c r="B41" s="8">
        <v>40012039</v>
      </c>
    </row>
    <row r="42" spans="2:2" x14ac:dyDescent="0.4">
      <c r="B42" s="8">
        <v>40012040</v>
      </c>
    </row>
    <row r="43" spans="2:2" x14ac:dyDescent="0.4">
      <c r="B43" s="8">
        <v>40012041</v>
      </c>
    </row>
    <row r="44" spans="2:2" x14ac:dyDescent="0.4">
      <c r="B44" s="8">
        <v>40012042</v>
      </c>
    </row>
    <row r="45" spans="2:2" x14ac:dyDescent="0.4">
      <c r="B45" s="8">
        <v>40012043</v>
      </c>
    </row>
    <row r="46" spans="2:2" x14ac:dyDescent="0.4">
      <c r="B46" s="8">
        <v>40012044</v>
      </c>
    </row>
    <row r="47" spans="2:2" x14ac:dyDescent="0.4">
      <c r="B47" s="8">
        <v>40012045</v>
      </c>
    </row>
    <row r="48" spans="2:2" x14ac:dyDescent="0.4">
      <c r="B48" s="8">
        <v>40012046</v>
      </c>
    </row>
    <row r="49" spans="2:2" x14ac:dyDescent="0.4">
      <c r="B49" s="8">
        <v>40012047</v>
      </c>
    </row>
    <row r="50" spans="2:2" x14ac:dyDescent="0.4">
      <c r="B50" s="8">
        <v>40012048</v>
      </c>
    </row>
    <row r="51" spans="2:2" x14ac:dyDescent="0.4">
      <c r="B51" s="8">
        <v>40012049</v>
      </c>
    </row>
    <row r="52" spans="2:2" x14ac:dyDescent="0.4">
      <c r="B52" s="8">
        <v>40012050</v>
      </c>
    </row>
    <row r="53" spans="2:2" x14ac:dyDescent="0.4">
      <c r="B53" s="8">
        <v>40012051</v>
      </c>
    </row>
    <row r="54" spans="2:2" x14ac:dyDescent="0.4">
      <c r="B54" s="8">
        <v>40012052</v>
      </c>
    </row>
    <row r="55" spans="2:2" x14ac:dyDescent="0.4">
      <c r="B55" s="8">
        <v>40012053</v>
      </c>
    </row>
    <row r="56" spans="2:2" x14ac:dyDescent="0.4">
      <c r="B56" s="8">
        <v>40012054</v>
      </c>
    </row>
    <row r="57" spans="2:2" x14ac:dyDescent="0.4">
      <c r="B57" s="8">
        <v>40012055</v>
      </c>
    </row>
    <row r="58" spans="2:2" x14ac:dyDescent="0.4">
      <c r="B58" s="8">
        <v>40012056</v>
      </c>
    </row>
    <row r="59" spans="2:2" x14ac:dyDescent="0.4">
      <c r="B59" s="8">
        <v>40012057</v>
      </c>
    </row>
    <row r="60" spans="2:2" x14ac:dyDescent="0.4">
      <c r="B60" s="8">
        <v>40012058</v>
      </c>
    </row>
    <row r="61" spans="2:2" x14ac:dyDescent="0.4">
      <c r="B61" s="8">
        <v>40012059</v>
      </c>
    </row>
    <row r="62" spans="2:2" x14ac:dyDescent="0.4">
      <c r="B62" s="8">
        <v>40012060</v>
      </c>
    </row>
    <row r="63" spans="2:2" x14ac:dyDescent="0.4">
      <c r="B63" s="8">
        <v>40012061</v>
      </c>
    </row>
    <row r="64" spans="2:2" x14ac:dyDescent="0.4">
      <c r="B64" s="8">
        <v>40012062</v>
      </c>
    </row>
    <row r="65" spans="2:2" x14ac:dyDescent="0.4">
      <c r="B65" s="8">
        <v>40012063</v>
      </c>
    </row>
    <row r="66" spans="2:2" x14ac:dyDescent="0.4">
      <c r="B66" s="8">
        <v>40012064</v>
      </c>
    </row>
    <row r="67" spans="2:2" x14ac:dyDescent="0.4">
      <c r="B67" s="8">
        <v>40012065</v>
      </c>
    </row>
    <row r="68" spans="2:2" x14ac:dyDescent="0.4">
      <c r="B68" s="8">
        <v>40012066</v>
      </c>
    </row>
    <row r="69" spans="2:2" x14ac:dyDescent="0.4">
      <c r="B69" s="8">
        <v>40012067</v>
      </c>
    </row>
    <row r="70" spans="2:2" x14ac:dyDescent="0.4">
      <c r="B70" s="8">
        <v>40012068</v>
      </c>
    </row>
    <row r="71" spans="2:2" x14ac:dyDescent="0.4">
      <c r="B71" s="8">
        <v>40012069</v>
      </c>
    </row>
    <row r="72" spans="2:2" x14ac:dyDescent="0.4">
      <c r="B72" s="8">
        <v>40012070</v>
      </c>
    </row>
    <row r="73" spans="2:2" x14ac:dyDescent="0.4">
      <c r="B73" s="8">
        <v>40012071</v>
      </c>
    </row>
    <row r="74" spans="2:2" x14ac:dyDescent="0.4">
      <c r="B74" s="8">
        <v>40012072</v>
      </c>
    </row>
    <row r="75" spans="2:2" x14ac:dyDescent="0.4">
      <c r="B75" s="8">
        <v>40012073</v>
      </c>
    </row>
    <row r="76" spans="2:2" x14ac:dyDescent="0.4">
      <c r="B76" s="8">
        <v>40012074</v>
      </c>
    </row>
    <row r="77" spans="2:2" x14ac:dyDescent="0.4">
      <c r="B77" s="8">
        <v>40012075</v>
      </c>
    </row>
    <row r="78" spans="2:2" x14ac:dyDescent="0.4">
      <c r="B78" s="8">
        <v>40012076</v>
      </c>
    </row>
    <row r="79" spans="2:2" x14ac:dyDescent="0.4">
      <c r="B79" s="8">
        <v>40012077</v>
      </c>
    </row>
    <row r="80" spans="2:2" x14ac:dyDescent="0.4">
      <c r="B80" s="8">
        <v>40012078</v>
      </c>
    </row>
    <row r="81" spans="2:2" x14ac:dyDescent="0.4">
      <c r="B81" s="8">
        <v>40012079</v>
      </c>
    </row>
    <row r="82" spans="2:2" x14ac:dyDescent="0.4">
      <c r="B82" s="8">
        <v>40012080</v>
      </c>
    </row>
    <row r="83" spans="2:2" x14ac:dyDescent="0.4">
      <c r="B83" s="8">
        <v>40012081</v>
      </c>
    </row>
    <row r="84" spans="2:2" x14ac:dyDescent="0.4">
      <c r="B84" s="8">
        <v>40012082</v>
      </c>
    </row>
    <row r="85" spans="2:2" x14ac:dyDescent="0.4">
      <c r="B85" s="8">
        <v>40012083</v>
      </c>
    </row>
    <row r="86" spans="2:2" x14ac:dyDescent="0.4">
      <c r="B86" s="8">
        <v>40012084</v>
      </c>
    </row>
    <row r="87" spans="2:2" x14ac:dyDescent="0.4">
      <c r="B87" s="8">
        <v>40012085</v>
      </c>
    </row>
    <row r="88" spans="2:2" x14ac:dyDescent="0.4">
      <c r="B88" s="8">
        <v>40012086</v>
      </c>
    </row>
    <row r="89" spans="2:2" x14ac:dyDescent="0.4">
      <c r="B89" s="8">
        <v>40012087</v>
      </c>
    </row>
    <row r="90" spans="2:2" x14ac:dyDescent="0.4">
      <c r="B90" s="8">
        <v>40012088</v>
      </c>
    </row>
    <row r="91" spans="2:2" x14ac:dyDescent="0.4">
      <c r="B91" s="8">
        <v>40012089</v>
      </c>
    </row>
    <row r="92" spans="2:2" x14ac:dyDescent="0.4">
      <c r="B92" s="8">
        <v>40012090</v>
      </c>
    </row>
    <row r="93" spans="2:2" x14ac:dyDescent="0.4">
      <c r="B93" s="8">
        <v>40012091</v>
      </c>
    </row>
    <row r="94" spans="2:2" x14ac:dyDescent="0.4">
      <c r="B94" s="8">
        <v>40012092</v>
      </c>
    </row>
    <row r="95" spans="2:2" x14ac:dyDescent="0.4">
      <c r="B95" s="8">
        <v>40012093</v>
      </c>
    </row>
    <row r="96" spans="2:2" x14ac:dyDescent="0.4">
      <c r="B96" s="8">
        <v>40012094</v>
      </c>
    </row>
    <row r="97" spans="2:2" x14ac:dyDescent="0.4">
      <c r="B97" s="8">
        <v>40012095</v>
      </c>
    </row>
    <row r="98" spans="2:2" x14ac:dyDescent="0.4">
      <c r="B98" s="8">
        <v>40012096</v>
      </c>
    </row>
    <row r="99" spans="2:2" x14ac:dyDescent="0.4">
      <c r="B99" s="8">
        <v>40012097</v>
      </c>
    </row>
    <row r="100" spans="2:2" x14ac:dyDescent="0.4">
      <c r="B100" s="8">
        <v>40012098</v>
      </c>
    </row>
    <row r="101" spans="2:2" x14ac:dyDescent="0.4">
      <c r="B101" s="8">
        <v>40012099</v>
      </c>
    </row>
    <row r="102" spans="2:2" x14ac:dyDescent="0.4">
      <c r="B102" s="8">
        <v>40012100</v>
      </c>
    </row>
    <row r="103" spans="2:2" x14ac:dyDescent="0.4">
      <c r="B103" s="8">
        <v>40012101</v>
      </c>
    </row>
    <row r="104" spans="2:2" x14ac:dyDescent="0.4">
      <c r="B104" s="8">
        <v>40012102</v>
      </c>
    </row>
    <row r="105" spans="2:2" x14ac:dyDescent="0.4">
      <c r="B105" s="8">
        <v>40012103</v>
      </c>
    </row>
    <row r="106" spans="2:2" x14ac:dyDescent="0.4">
      <c r="B106" s="8">
        <v>40012104</v>
      </c>
    </row>
    <row r="107" spans="2:2" x14ac:dyDescent="0.4">
      <c r="B107" s="8">
        <v>40012105</v>
      </c>
    </row>
    <row r="108" spans="2:2" x14ac:dyDescent="0.4">
      <c r="B108" s="8">
        <v>40012106</v>
      </c>
    </row>
    <row r="109" spans="2:2" x14ac:dyDescent="0.4">
      <c r="B109" s="8">
        <v>40012107</v>
      </c>
    </row>
    <row r="110" spans="2:2" x14ac:dyDescent="0.4">
      <c r="B110" s="8">
        <v>40012108</v>
      </c>
    </row>
    <row r="111" spans="2:2" x14ac:dyDescent="0.4">
      <c r="B111" s="8">
        <v>40012109</v>
      </c>
    </row>
    <row r="112" spans="2:2" x14ac:dyDescent="0.4">
      <c r="B112" s="8">
        <v>40012110</v>
      </c>
    </row>
    <row r="113" spans="2:2" x14ac:dyDescent="0.4">
      <c r="B113" s="8">
        <v>40012111</v>
      </c>
    </row>
    <row r="114" spans="2:2" x14ac:dyDescent="0.4">
      <c r="B114" s="8">
        <v>40012112</v>
      </c>
    </row>
    <row r="115" spans="2:2" x14ac:dyDescent="0.4">
      <c r="B115" s="8">
        <v>40012113</v>
      </c>
    </row>
    <row r="116" spans="2:2" x14ac:dyDescent="0.4">
      <c r="B116" s="8">
        <v>40012114</v>
      </c>
    </row>
    <row r="117" spans="2:2" x14ac:dyDescent="0.4">
      <c r="B117" s="8">
        <v>40012115</v>
      </c>
    </row>
    <row r="118" spans="2:2" x14ac:dyDescent="0.4">
      <c r="B118" s="8">
        <v>40012116</v>
      </c>
    </row>
    <row r="119" spans="2:2" x14ac:dyDescent="0.4">
      <c r="B119" s="8">
        <v>40012117</v>
      </c>
    </row>
    <row r="120" spans="2:2" x14ac:dyDescent="0.4">
      <c r="B120" s="8">
        <v>40012118</v>
      </c>
    </row>
    <row r="121" spans="2:2" x14ac:dyDescent="0.4">
      <c r="B121" s="8">
        <v>40012119</v>
      </c>
    </row>
    <row r="122" spans="2:2" x14ac:dyDescent="0.4">
      <c r="B122" s="8">
        <v>40012120</v>
      </c>
    </row>
    <row r="123" spans="2:2" x14ac:dyDescent="0.4">
      <c r="B123" s="8">
        <v>40012121</v>
      </c>
    </row>
    <row r="124" spans="2:2" x14ac:dyDescent="0.4">
      <c r="B124" s="8">
        <v>40012122</v>
      </c>
    </row>
    <row r="125" spans="2:2" x14ac:dyDescent="0.4">
      <c r="B125" s="8">
        <v>40012123</v>
      </c>
    </row>
    <row r="126" spans="2:2" x14ac:dyDescent="0.4">
      <c r="B126" s="8">
        <v>40012124</v>
      </c>
    </row>
    <row r="127" spans="2:2" x14ac:dyDescent="0.4">
      <c r="B127" s="8">
        <v>40012125</v>
      </c>
    </row>
    <row r="128" spans="2:2" x14ac:dyDescent="0.4">
      <c r="B128" s="8">
        <v>40012126</v>
      </c>
    </row>
    <row r="129" spans="2:2" x14ac:dyDescent="0.4">
      <c r="B129" s="8">
        <v>40012127</v>
      </c>
    </row>
    <row r="130" spans="2:2" x14ac:dyDescent="0.4">
      <c r="B130" s="8">
        <v>40012128</v>
      </c>
    </row>
    <row r="131" spans="2:2" x14ac:dyDescent="0.4">
      <c r="B131" s="8">
        <v>40012129</v>
      </c>
    </row>
    <row r="132" spans="2:2" x14ac:dyDescent="0.4">
      <c r="B132" s="8">
        <v>40012130</v>
      </c>
    </row>
    <row r="133" spans="2:2" x14ac:dyDescent="0.4">
      <c r="B133" s="8">
        <v>40012131</v>
      </c>
    </row>
    <row r="134" spans="2:2" x14ac:dyDescent="0.4">
      <c r="B134" s="8">
        <v>40012132</v>
      </c>
    </row>
    <row r="135" spans="2:2" x14ac:dyDescent="0.4">
      <c r="B135" s="8">
        <v>40012133</v>
      </c>
    </row>
    <row r="136" spans="2:2" x14ac:dyDescent="0.4">
      <c r="B136" s="8">
        <v>40012134</v>
      </c>
    </row>
    <row r="137" spans="2:2" x14ac:dyDescent="0.4">
      <c r="B137" s="8">
        <v>40012135</v>
      </c>
    </row>
    <row r="138" spans="2:2" x14ac:dyDescent="0.4">
      <c r="B138" s="8">
        <v>40012136</v>
      </c>
    </row>
    <row r="139" spans="2:2" x14ac:dyDescent="0.4">
      <c r="B139" s="8">
        <v>40012137</v>
      </c>
    </row>
    <row r="140" spans="2:2" x14ac:dyDescent="0.4">
      <c r="B140" s="8">
        <v>40012138</v>
      </c>
    </row>
    <row r="141" spans="2:2" x14ac:dyDescent="0.4">
      <c r="B141" s="8">
        <v>40012139</v>
      </c>
    </row>
    <row r="142" spans="2:2" x14ac:dyDescent="0.4">
      <c r="B142" s="8">
        <v>40012140</v>
      </c>
    </row>
    <row r="143" spans="2:2" x14ac:dyDescent="0.4">
      <c r="B143" s="8">
        <v>40012141</v>
      </c>
    </row>
    <row r="144" spans="2:2" x14ac:dyDescent="0.4">
      <c r="B144" s="8">
        <v>40012142</v>
      </c>
    </row>
    <row r="145" spans="2:2" x14ac:dyDescent="0.4">
      <c r="B145" s="8">
        <v>40012143</v>
      </c>
    </row>
    <row r="146" spans="2:2" x14ac:dyDescent="0.4">
      <c r="B146" s="8">
        <v>40012144</v>
      </c>
    </row>
    <row r="147" spans="2:2" x14ac:dyDescent="0.4">
      <c r="B147" s="8">
        <v>40012145</v>
      </c>
    </row>
    <row r="148" spans="2:2" x14ac:dyDescent="0.4">
      <c r="B148" s="8">
        <v>40012146</v>
      </c>
    </row>
    <row r="149" spans="2:2" x14ac:dyDescent="0.4">
      <c r="B149" s="8">
        <v>40012147</v>
      </c>
    </row>
    <row r="150" spans="2:2" x14ac:dyDescent="0.4">
      <c r="B150" s="8">
        <v>40012148</v>
      </c>
    </row>
    <row r="151" spans="2:2" x14ac:dyDescent="0.4">
      <c r="B151" s="8">
        <v>40012149</v>
      </c>
    </row>
    <row r="152" spans="2:2" x14ac:dyDescent="0.4">
      <c r="B152" s="8">
        <v>40012150</v>
      </c>
    </row>
    <row r="153" spans="2:2" x14ac:dyDescent="0.4">
      <c r="B153" s="8">
        <v>40012151</v>
      </c>
    </row>
    <row r="154" spans="2:2" x14ac:dyDescent="0.4">
      <c r="B154" s="8">
        <v>40012152</v>
      </c>
    </row>
    <row r="155" spans="2:2" x14ac:dyDescent="0.4">
      <c r="B155" s="8">
        <v>40012153</v>
      </c>
    </row>
    <row r="156" spans="2:2" x14ac:dyDescent="0.4">
      <c r="B156" s="8">
        <v>40012154</v>
      </c>
    </row>
    <row r="157" spans="2:2" x14ac:dyDescent="0.4">
      <c r="B157" s="8">
        <v>40012155</v>
      </c>
    </row>
    <row r="158" spans="2:2" x14ac:dyDescent="0.4">
      <c r="B158" s="8">
        <v>40012156</v>
      </c>
    </row>
    <row r="159" spans="2:2" x14ac:dyDescent="0.4">
      <c r="B159" s="8">
        <v>40012157</v>
      </c>
    </row>
    <row r="160" spans="2:2" x14ac:dyDescent="0.4">
      <c r="B160" s="8">
        <v>40012158</v>
      </c>
    </row>
    <row r="161" spans="2:2" x14ac:dyDescent="0.4">
      <c r="B161" s="8">
        <v>40012159</v>
      </c>
    </row>
    <row r="162" spans="2:2" x14ac:dyDescent="0.4">
      <c r="B162" s="8">
        <v>40012160</v>
      </c>
    </row>
    <row r="163" spans="2:2" x14ac:dyDescent="0.4">
      <c r="B163" s="8">
        <v>40012161</v>
      </c>
    </row>
    <row r="164" spans="2:2" x14ac:dyDescent="0.4">
      <c r="B164" s="8">
        <v>40012162</v>
      </c>
    </row>
    <row r="165" spans="2:2" x14ac:dyDescent="0.4">
      <c r="B165" s="8">
        <v>40012163</v>
      </c>
    </row>
    <row r="166" spans="2:2" x14ac:dyDescent="0.4">
      <c r="B166" s="8">
        <v>40012164</v>
      </c>
    </row>
    <row r="167" spans="2:2" x14ac:dyDescent="0.4">
      <c r="B167" s="8">
        <v>40012165</v>
      </c>
    </row>
    <row r="168" spans="2:2" x14ac:dyDescent="0.4">
      <c r="B168" s="8">
        <v>40012166</v>
      </c>
    </row>
    <row r="169" spans="2:2" x14ac:dyDescent="0.4">
      <c r="B169" s="8">
        <v>40012167</v>
      </c>
    </row>
  </sheetData>
  <mergeCells count="1">
    <mergeCell ref="B1:G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3" name="Check Box 3">
              <controlPr defaultSize="0" autoFill="0" autoLine="0" autoPict="0" altText="">
                <anchor moveWithCells="1">
                  <from>
                    <xdr:col>6</xdr:col>
                    <xdr:colOff>457200</xdr:colOff>
                    <xdr:row>0</xdr:row>
                    <xdr:rowOff>68580</xdr:rowOff>
                  </from>
                  <to>
                    <xdr:col>6</xdr:col>
                    <xdr:colOff>754380</xdr:colOff>
                    <xdr:row>0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E07B-0EDB-45D8-9D55-60027B85BF98}">
  <sheetPr>
    <tabColor theme="1"/>
  </sheetPr>
  <dimension ref="B1:G168"/>
  <sheetViews>
    <sheetView zoomScale="160" zoomScaleNormal="160" workbookViewId="0">
      <selection activeCell="D3" sqref="D3"/>
    </sheetView>
  </sheetViews>
  <sheetFormatPr defaultRowHeight="16.8" x14ac:dyDescent="0.4"/>
  <cols>
    <col min="1" max="1" width="1.59765625" customWidth="1"/>
    <col min="2" max="2" width="15.8984375" bestFit="1" customWidth="1"/>
    <col min="4" max="4" width="11" bestFit="1" customWidth="1"/>
    <col min="6" max="6" width="3.69921875" customWidth="1"/>
    <col min="7" max="7" width="15.8984375" customWidth="1"/>
  </cols>
  <sheetData>
    <row r="1" spans="2:7" ht="29.25" customHeight="1" x14ac:dyDescent="0.4">
      <c r="B1" s="101" t="s">
        <v>716</v>
      </c>
      <c r="C1" s="101"/>
      <c r="D1" s="101"/>
      <c r="E1" s="101"/>
      <c r="F1" s="101"/>
      <c r="G1" s="101"/>
    </row>
    <row r="2" spans="2:7" x14ac:dyDescent="0.4">
      <c r="B2" s="9" t="s">
        <v>138</v>
      </c>
      <c r="D2" s="6" t="s">
        <v>568</v>
      </c>
    </row>
    <row r="3" spans="2:7" x14ac:dyDescent="0.4">
      <c r="B3" s="64" t="s">
        <v>569</v>
      </c>
      <c r="D3" s="8"/>
    </row>
    <row r="4" spans="2:7" x14ac:dyDescent="0.4">
      <c r="B4" s="64" t="s">
        <v>570</v>
      </c>
    </row>
    <row r="5" spans="2:7" x14ac:dyDescent="0.4">
      <c r="B5" s="64" t="s">
        <v>571</v>
      </c>
    </row>
    <row r="6" spans="2:7" x14ac:dyDescent="0.4">
      <c r="B6" s="64" t="s">
        <v>572</v>
      </c>
    </row>
    <row r="7" spans="2:7" x14ac:dyDescent="0.4">
      <c r="B7" s="64" t="s">
        <v>573</v>
      </c>
    </row>
    <row r="8" spans="2:7" x14ac:dyDescent="0.4">
      <c r="B8" s="64" t="s">
        <v>574</v>
      </c>
    </row>
    <row r="9" spans="2:7" x14ac:dyDescent="0.4">
      <c r="B9" s="64" t="s">
        <v>575</v>
      </c>
    </row>
    <row r="10" spans="2:7" x14ac:dyDescent="0.4">
      <c r="B10" s="64" t="s">
        <v>576</v>
      </c>
    </row>
    <row r="11" spans="2:7" x14ac:dyDescent="0.4">
      <c r="B11" s="64" t="s">
        <v>577</v>
      </c>
    </row>
    <row r="12" spans="2:7" x14ac:dyDescent="0.4">
      <c r="B12" s="64" t="s">
        <v>578</v>
      </c>
    </row>
    <row r="13" spans="2:7" x14ac:dyDescent="0.4">
      <c r="B13" s="64" t="s">
        <v>579</v>
      </c>
    </row>
    <row r="14" spans="2:7" x14ac:dyDescent="0.4">
      <c r="B14" s="64" t="s">
        <v>580</v>
      </c>
    </row>
    <row r="15" spans="2:7" x14ac:dyDescent="0.4">
      <c r="B15" s="64" t="s">
        <v>581</v>
      </c>
    </row>
    <row r="16" spans="2:7" x14ac:dyDescent="0.4">
      <c r="B16" s="64" t="s">
        <v>582</v>
      </c>
    </row>
    <row r="17" spans="2:2" x14ac:dyDescent="0.4">
      <c r="B17" s="64" t="s">
        <v>583</v>
      </c>
    </row>
    <row r="18" spans="2:2" x14ac:dyDescent="0.4">
      <c r="B18" s="64" t="s">
        <v>584</v>
      </c>
    </row>
    <row r="19" spans="2:2" x14ac:dyDescent="0.4">
      <c r="B19" s="64" t="s">
        <v>585</v>
      </c>
    </row>
    <row r="20" spans="2:2" x14ac:dyDescent="0.4">
      <c r="B20" s="64" t="s">
        <v>586</v>
      </c>
    </row>
    <row r="21" spans="2:2" x14ac:dyDescent="0.4">
      <c r="B21" s="64" t="s">
        <v>587</v>
      </c>
    </row>
    <row r="22" spans="2:2" x14ac:dyDescent="0.4">
      <c r="B22" s="64" t="s">
        <v>588</v>
      </c>
    </row>
    <row r="23" spans="2:2" x14ac:dyDescent="0.4">
      <c r="B23" s="64" t="s">
        <v>589</v>
      </c>
    </row>
    <row r="24" spans="2:2" x14ac:dyDescent="0.4">
      <c r="B24" s="64" t="s">
        <v>590</v>
      </c>
    </row>
    <row r="25" spans="2:2" x14ac:dyDescent="0.4">
      <c r="B25" s="64" t="s">
        <v>591</v>
      </c>
    </row>
    <row r="26" spans="2:2" x14ac:dyDescent="0.4">
      <c r="B26" s="64" t="s">
        <v>592</v>
      </c>
    </row>
    <row r="27" spans="2:2" x14ac:dyDescent="0.4">
      <c r="B27" s="64" t="s">
        <v>593</v>
      </c>
    </row>
    <row r="28" spans="2:2" x14ac:dyDescent="0.4">
      <c r="B28" s="64" t="s">
        <v>594</v>
      </c>
    </row>
    <row r="29" spans="2:2" x14ac:dyDescent="0.4">
      <c r="B29" s="64" t="s">
        <v>595</v>
      </c>
    </row>
    <row r="30" spans="2:2" x14ac:dyDescent="0.4">
      <c r="B30" s="64" t="s">
        <v>596</v>
      </c>
    </row>
    <row r="31" spans="2:2" x14ac:dyDescent="0.4">
      <c r="B31" s="64" t="s">
        <v>597</v>
      </c>
    </row>
    <row r="32" spans="2:2" x14ac:dyDescent="0.4">
      <c r="B32" s="64" t="s">
        <v>598</v>
      </c>
    </row>
    <row r="33" spans="2:2" x14ac:dyDescent="0.4">
      <c r="B33" s="64" t="s">
        <v>599</v>
      </c>
    </row>
    <row r="34" spans="2:2" x14ac:dyDescent="0.4">
      <c r="B34" s="64" t="s">
        <v>600</v>
      </c>
    </row>
    <row r="35" spans="2:2" x14ac:dyDescent="0.4">
      <c r="B35" s="64" t="s">
        <v>601</v>
      </c>
    </row>
    <row r="36" spans="2:2" x14ac:dyDescent="0.4">
      <c r="B36" s="64" t="s">
        <v>602</v>
      </c>
    </row>
    <row r="37" spans="2:2" x14ac:dyDescent="0.4">
      <c r="B37" s="64" t="s">
        <v>603</v>
      </c>
    </row>
    <row r="38" spans="2:2" x14ac:dyDescent="0.4">
      <c r="B38" s="64" t="s">
        <v>604</v>
      </c>
    </row>
    <row r="39" spans="2:2" x14ac:dyDescent="0.4">
      <c r="B39" s="64" t="s">
        <v>605</v>
      </c>
    </row>
    <row r="40" spans="2:2" x14ac:dyDescent="0.4">
      <c r="B40" s="64" t="s">
        <v>606</v>
      </c>
    </row>
    <row r="41" spans="2:2" x14ac:dyDescent="0.4">
      <c r="B41" s="64" t="s">
        <v>607</v>
      </c>
    </row>
    <row r="42" spans="2:2" x14ac:dyDescent="0.4">
      <c r="B42" s="64" t="s">
        <v>608</v>
      </c>
    </row>
    <row r="43" spans="2:2" x14ac:dyDescent="0.4">
      <c r="B43" s="64" t="s">
        <v>609</v>
      </c>
    </row>
    <row r="44" spans="2:2" x14ac:dyDescent="0.4">
      <c r="B44" s="64" t="s">
        <v>610</v>
      </c>
    </row>
    <row r="45" spans="2:2" x14ac:dyDescent="0.4">
      <c r="B45" s="64" t="s">
        <v>611</v>
      </c>
    </row>
    <row r="46" spans="2:2" x14ac:dyDescent="0.4">
      <c r="B46" s="64" t="s">
        <v>579</v>
      </c>
    </row>
    <row r="47" spans="2:2" x14ac:dyDescent="0.4">
      <c r="B47" s="64" t="s">
        <v>612</v>
      </c>
    </row>
    <row r="48" spans="2:2" x14ac:dyDescent="0.4">
      <c r="B48" s="64" t="s">
        <v>613</v>
      </c>
    </row>
    <row r="49" spans="2:2" x14ac:dyDescent="0.4">
      <c r="B49" s="64" t="s">
        <v>614</v>
      </c>
    </row>
    <row r="50" spans="2:2" x14ac:dyDescent="0.4">
      <c r="B50" s="64" t="s">
        <v>615</v>
      </c>
    </row>
    <row r="51" spans="2:2" x14ac:dyDescent="0.4">
      <c r="B51" s="64" t="s">
        <v>616</v>
      </c>
    </row>
    <row r="52" spans="2:2" x14ac:dyDescent="0.4">
      <c r="B52" s="64" t="s">
        <v>617</v>
      </c>
    </row>
    <row r="53" spans="2:2" x14ac:dyDescent="0.4">
      <c r="B53" s="64" t="s">
        <v>618</v>
      </c>
    </row>
    <row r="54" spans="2:2" x14ac:dyDescent="0.4">
      <c r="B54" s="64" t="s">
        <v>619</v>
      </c>
    </row>
    <row r="55" spans="2:2" x14ac:dyDescent="0.4">
      <c r="B55" s="64" t="s">
        <v>620</v>
      </c>
    </row>
    <row r="56" spans="2:2" x14ac:dyDescent="0.4">
      <c r="B56" s="64" t="s">
        <v>621</v>
      </c>
    </row>
    <row r="57" spans="2:2" x14ac:dyDescent="0.4">
      <c r="B57" s="64" t="s">
        <v>622</v>
      </c>
    </row>
    <row r="58" spans="2:2" x14ac:dyDescent="0.4">
      <c r="B58" s="64" t="s">
        <v>623</v>
      </c>
    </row>
    <row r="59" spans="2:2" x14ac:dyDescent="0.4">
      <c r="B59" s="64" t="s">
        <v>588</v>
      </c>
    </row>
    <row r="60" spans="2:2" x14ac:dyDescent="0.4">
      <c r="B60" s="64" t="s">
        <v>624</v>
      </c>
    </row>
    <row r="61" spans="2:2" x14ac:dyDescent="0.4">
      <c r="B61" s="64" t="s">
        <v>625</v>
      </c>
    </row>
    <row r="62" spans="2:2" x14ac:dyDescent="0.4">
      <c r="B62" s="64" t="s">
        <v>626</v>
      </c>
    </row>
    <row r="63" spans="2:2" x14ac:dyDescent="0.4">
      <c r="B63" s="64" t="s">
        <v>627</v>
      </c>
    </row>
    <row r="64" spans="2:2" x14ac:dyDescent="0.4">
      <c r="B64" s="64" t="s">
        <v>628</v>
      </c>
    </row>
    <row r="65" spans="2:2" x14ac:dyDescent="0.4">
      <c r="B65" s="64" t="s">
        <v>629</v>
      </c>
    </row>
    <row r="66" spans="2:2" x14ac:dyDescent="0.4">
      <c r="B66" s="64" t="s">
        <v>630</v>
      </c>
    </row>
    <row r="67" spans="2:2" x14ac:dyDescent="0.4">
      <c r="B67" s="64" t="s">
        <v>631</v>
      </c>
    </row>
    <row r="68" spans="2:2" x14ac:dyDescent="0.4">
      <c r="B68" s="64" t="s">
        <v>632</v>
      </c>
    </row>
    <row r="69" spans="2:2" x14ac:dyDescent="0.4">
      <c r="B69" s="64" t="s">
        <v>633</v>
      </c>
    </row>
    <row r="70" spans="2:2" x14ac:dyDescent="0.4">
      <c r="B70" s="64" t="s">
        <v>634</v>
      </c>
    </row>
    <row r="71" spans="2:2" x14ac:dyDescent="0.4">
      <c r="B71" s="64" t="s">
        <v>635</v>
      </c>
    </row>
    <row r="72" spans="2:2" x14ac:dyDescent="0.4">
      <c r="B72" s="64" t="s">
        <v>636</v>
      </c>
    </row>
    <row r="73" spans="2:2" x14ac:dyDescent="0.4">
      <c r="B73" s="64" t="s">
        <v>637</v>
      </c>
    </row>
    <row r="74" spans="2:2" x14ac:dyDescent="0.4">
      <c r="B74" s="64" t="s">
        <v>638</v>
      </c>
    </row>
    <row r="75" spans="2:2" x14ac:dyDescent="0.4">
      <c r="B75" s="64" t="s">
        <v>584</v>
      </c>
    </row>
    <row r="76" spans="2:2" x14ac:dyDescent="0.4">
      <c r="B76" s="64" t="s">
        <v>639</v>
      </c>
    </row>
    <row r="77" spans="2:2" x14ac:dyDescent="0.4">
      <c r="B77" s="64" t="s">
        <v>640</v>
      </c>
    </row>
    <row r="78" spans="2:2" x14ac:dyDescent="0.4">
      <c r="B78" s="64" t="s">
        <v>641</v>
      </c>
    </row>
    <row r="79" spans="2:2" x14ac:dyDescent="0.4">
      <c r="B79" s="64" t="s">
        <v>642</v>
      </c>
    </row>
    <row r="80" spans="2:2" x14ac:dyDescent="0.4">
      <c r="B80" s="64" t="s">
        <v>643</v>
      </c>
    </row>
    <row r="81" spans="2:2" ht="33.6" x14ac:dyDescent="0.4">
      <c r="B81" s="64" t="s">
        <v>644</v>
      </c>
    </row>
    <row r="82" spans="2:2" x14ac:dyDescent="0.4">
      <c r="B82" s="64" t="s">
        <v>645</v>
      </c>
    </row>
    <row r="83" spans="2:2" x14ac:dyDescent="0.4">
      <c r="B83" s="64" t="s">
        <v>646</v>
      </c>
    </row>
    <row r="84" spans="2:2" x14ac:dyDescent="0.4">
      <c r="B84" s="64" t="s">
        <v>647</v>
      </c>
    </row>
    <row r="85" spans="2:2" x14ac:dyDescent="0.4">
      <c r="B85" s="64" t="s">
        <v>648</v>
      </c>
    </row>
    <row r="86" spans="2:2" x14ac:dyDescent="0.4">
      <c r="B86" s="64" t="s">
        <v>649</v>
      </c>
    </row>
    <row r="87" spans="2:2" x14ac:dyDescent="0.4">
      <c r="B87" s="64" t="s">
        <v>650</v>
      </c>
    </row>
    <row r="88" spans="2:2" x14ac:dyDescent="0.4">
      <c r="B88" s="64" t="s">
        <v>651</v>
      </c>
    </row>
    <row r="89" spans="2:2" x14ac:dyDescent="0.4">
      <c r="B89" s="64" t="s">
        <v>652</v>
      </c>
    </row>
    <row r="90" spans="2:2" x14ac:dyDescent="0.4">
      <c r="B90" s="64" t="s">
        <v>653</v>
      </c>
    </row>
    <row r="91" spans="2:2" x14ac:dyDescent="0.4">
      <c r="B91" s="64" t="s">
        <v>654</v>
      </c>
    </row>
    <row r="92" spans="2:2" x14ac:dyDescent="0.4">
      <c r="B92" s="64" t="s">
        <v>655</v>
      </c>
    </row>
    <row r="93" spans="2:2" x14ac:dyDescent="0.4">
      <c r="B93" s="64" t="s">
        <v>616</v>
      </c>
    </row>
    <row r="94" spans="2:2" x14ac:dyDescent="0.4">
      <c r="B94" s="64" t="s">
        <v>656</v>
      </c>
    </row>
    <row r="95" spans="2:2" x14ac:dyDescent="0.4">
      <c r="B95" s="64" t="s">
        <v>579</v>
      </c>
    </row>
    <row r="96" spans="2:2" x14ac:dyDescent="0.4">
      <c r="B96" s="64" t="s">
        <v>657</v>
      </c>
    </row>
    <row r="97" spans="2:2" x14ac:dyDescent="0.4">
      <c r="B97" s="64" t="s">
        <v>658</v>
      </c>
    </row>
    <row r="98" spans="2:2" x14ac:dyDescent="0.4">
      <c r="B98" s="64" t="s">
        <v>659</v>
      </c>
    </row>
    <row r="99" spans="2:2" x14ac:dyDescent="0.4">
      <c r="B99" s="64" t="s">
        <v>660</v>
      </c>
    </row>
    <row r="100" spans="2:2" x14ac:dyDescent="0.4">
      <c r="B100" s="64" t="s">
        <v>661</v>
      </c>
    </row>
    <row r="101" spans="2:2" x14ac:dyDescent="0.4">
      <c r="B101" s="64" t="s">
        <v>662</v>
      </c>
    </row>
    <row r="102" spans="2:2" x14ac:dyDescent="0.4">
      <c r="B102" s="64" t="s">
        <v>663</v>
      </c>
    </row>
    <row r="103" spans="2:2" x14ac:dyDescent="0.4">
      <c r="B103" s="64" t="s">
        <v>574</v>
      </c>
    </row>
    <row r="104" spans="2:2" x14ac:dyDescent="0.4">
      <c r="B104" s="64" t="s">
        <v>664</v>
      </c>
    </row>
    <row r="105" spans="2:2" x14ac:dyDescent="0.4">
      <c r="B105" s="64" t="s">
        <v>665</v>
      </c>
    </row>
    <row r="106" spans="2:2" x14ac:dyDescent="0.4">
      <c r="B106" s="64" t="s">
        <v>666</v>
      </c>
    </row>
    <row r="107" spans="2:2" x14ac:dyDescent="0.4">
      <c r="B107" s="64" t="s">
        <v>667</v>
      </c>
    </row>
    <row r="108" spans="2:2" x14ac:dyDescent="0.4">
      <c r="B108" s="64" t="s">
        <v>668</v>
      </c>
    </row>
    <row r="109" spans="2:2" x14ac:dyDescent="0.4">
      <c r="B109" s="64" t="s">
        <v>591</v>
      </c>
    </row>
    <row r="110" spans="2:2" x14ac:dyDescent="0.4">
      <c r="B110" s="64" t="s">
        <v>669</v>
      </c>
    </row>
    <row r="111" spans="2:2" x14ac:dyDescent="0.4">
      <c r="B111" s="64" t="s">
        <v>623</v>
      </c>
    </row>
    <row r="112" spans="2:2" x14ac:dyDescent="0.4">
      <c r="B112" s="64" t="s">
        <v>670</v>
      </c>
    </row>
    <row r="113" spans="2:2" x14ac:dyDescent="0.4">
      <c r="B113" s="64" t="s">
        <v>671</v>
      </c>
    </row>
    <row r="114" spans="2:2" x14ac:dyDescent="0.4">
      <c r="B114" s="64" t="s">
        <v>587</v>
      </c>
    </row>
    <row r="115" spans="2:2" x14ac:dyDescent="0.4">
      <c r="B115" s="64" t="s">
        <v>672</v>
      </c>
    </row>
    <row r="116" spans="2:2" x14ac:dyDescent="0.4">
      <c r="B116" s="64" t="s">
        <v>580</v>
      </c>
    </row>
    <row r="117" spans="2:2" x14ac:dyDescent="0.4">
      <c r="B117" s="64" t="s">
        <v>645</v>
      </c>
    </row>
    <row r="118" spans="2:2" x14ac:dyDescent="0.4">
      <c r="B118" s="64" t="s">
        <v>673</v>
      </c>
    </row>
    <row r="119" spans="2:2" x14ac:dyDescent="0.4">
      <c r="B119" s="64" t="s">
        <v>674</v>
      </c>
    </row>
    <row r="120" spans="2:2" x14ac:dyDescent="0.4">
      <c r="B120" s="64" t="s">
        <v>675</v>
      </c>
    </row>
    <row r="121" spans="2:2" x14ac:dyDescent="0.4">
      <c r="B121" s="64" t="s">
        <v>676</v>
      </c>
    </row>
    <row r="122" spans="2:2" x14ac:dyDescent="0.4">
      <c r="B122" s="64" t="s">
        <v>677</v>
      </c>
    </row>
    <row r="123" spans="2:2" x14ac:dyDescent="0.4">
      <c r="B123" s="64" t="s">
        <v>678</v>
      </c>
    </row>
    <row r="124" spans="2:2" ht="33.6" x14ac:dyDescent="0.4">
      <c r="B124" s="64" t="s">
        <v>679</v>
      </c>
    </row>
    <row r="125" spans="2:2" x14ac:dyDescent="0.4">
      <c r="B125" s="64" t="s">
        <v>680</v>
      </c>
    </row>
    <row r="126" spans="2:2" x14ac:dyDescent="0.4">
      <c r="B126" s="64" t="s">
        <v>681</v>
      </c>
    </row>
    <row r="127" spans="2:2" x14ac:dyDescent="0.4">
      <c r="B127" s="64" t="s">
        <v>682</v>
      </c>
    </row>
    <row r="128" spans="2:2" x14ac:dyDescent="0.4">
      <c r="B128" s="64" t="s">
        <v>683</v>
      </c>
    </row>
    <row r="129" spans="2:2" x14ac:dyDescent="0.4">
      <c r="B129" s="64" t="s">
        <v>684</v>
      </c>
    </row>
    <row r="130" spans="2:2" x14ac:dyDescent="0.4">
      <c r="B130" s="64" t="s">
        <v>685</v>
      </c>
    </row>
    <row r="131" spans="2:2" x14ac:dyDescent="0.4">
      <c r="B131" s="64" t="s">
        <v>686</v>
      </c>
    </row>
    <row r="132" spans="2:2" x14ac:dyDescent="0.4">
      <c r="B132" s="64" t="s">
        <v>687</v>
      </c>
    </row>
    <row r="133" spans="2:2" x14ac:dyDescent="0.4">
      <c r="B133" s="64" t="s">
        <v>688</v>
      </c>
    </row>
    <row r="134" spans="2:2" x14ac:dyDescent="0.4">
      <c r="B134" s="64" t="s">
        <v>689</v>
      </c>
    </row>
    <row r="135" spans="2:2" x14ac:dyDescent="0.4">
      <c r="B135" s="64" t="s">
        <v>658</v>
      </c>
    </row>
    <row r="136" spans="2:2" x14ac:dyDescent="0.4">
      <c r="B136" s="64" t="s">
        <v>690</v>
      </c>
    </row>
    <row r="137" spans="2:2" x14ac:dyDescent="0.4">
      <c r="B137" s="64" t="s">
        <v>691</v>
      </c>
    </row>
    <row r="138" spans="2:2" x14ac:dyDescent="0.4">
      <c r="B138" s="64" t="s">
        <v>692</v>
      </c>
    </row>
    <row r="139" spans="2:2" x14ac:dyDescent="0.4">
      <c r="B139" s="64" t="s">
        <v>693</v>
      </c>
    </row>
    <row r="140" spans="2:2" x14ac:dyDescent="0.4">
      <c r="B140" s="64" t="s">
        <v>694</v>
      </c>
    </row>
    <row r="141" spans="2:2" x14ac:dyDescent="0.4">
      <c r="B141" s="64" t="s">
        <v>640</v>
      </c>
    </row>
    <row r="142" spans="2:2" x14ac:dyDescent="0.4">
      <c r="B142" s="64" t="s">
        <v>695</v>
      </c>
    </row>
    <row r="143" spans="2:2" x14ac:dyDescent="0.4">
      <c r="B143" s="64" t="s">
        <v>696</v>
      </c>
    </row>
    <row r="144" spans="2:2" x14ac:dyDescent="0.4">
      <c r="B144" s="64" t="s">
        <v>697</v>
      </c>
    </row>
    <row r="145" spans="2:2" x14ac:dyDescent="0.4">
      <c r="B145" s="64" t="s">
        <v>698</v>
      </c>
    </row>
    <row r="146" spans="2:2" x14ac:dyDescent="0.4">
      <c r="B146" s="64" t="s">
        <v>699</v>
      </c>
    </row>
    <row r="147" spans="2:2" x14ac:dyDescent="0.4">
      <c r="B147" s="64" t="s">
        <v>600</v>
      </c>
    </row>
    <row r="148" spans="2:2" ht="33.6" x14ac:dyDescent="0.4">
      <c r="B148" s="64" t="s">
        <v>644</v>
      </c>
    </row>
    <row r="149" spans="2:2" x14ac:dyDescent="0.4">
      <c r="B149" s="64" t="s">
        <v>700</v>
      </c>
    </row>
    <row r="150" spans="2:2" x14ac:dyDescent="0.4">
      <c r="B150" s="64" t="s">
        <v>701</v>
      </c>
    </row>
    <row r="151" spans="2:2" x14ac:dyDescent="0.4">
      <c r="B151" s="64" t="s">
        <v>702</v>
      </c>
    </row>
    <row r="152" spans="2:2" x14ac:dyDescent="0.4">
      <c r="B152" s="64" t="s">
        <v>592</v>
      </c>
    </row>
    <row r="153" spans="2:2" x14ac:dyDescent="0.4">
      <c r="B153" s="64" t="s">
        <v>703</v>
      </c>
    </row>
    <row r="154" spans="2:2" x14ac:dyDescent="0.4">
      <c r="B154" s="64" t="s">
        <v>704</v>
      </c>
    </row>
    <row r="155" spans="2:2" x14ac:dyDescent="0.4">
      <c r="B155" s="64" t="s">
        <v>705</v>
      </c>
    </row>
    <row r="156" spans="2:2" x14ac:dyDescent="0.4">
      <c r="B156" s="64" t="s">
        <v>706</v>
      </c>
    </row>
    <row r="157" spans="2:2" x14ac:dyDescent="0.4">
      <c r="B157" s="64" t="s">
        <v>707</v>
      </c>
    </row>
    <row r="158" spans="2:2" x14ac:dyDescent="0.4">
      <c r="B158" s="64" t="s">
        <v>708</v>
      </c>
    </row>
    <row r="159" spans="2:2" x14ac:dyDescent="0.4">
      <c r="B159" s="64" t="s">
        <v>709</v>
      </c>
    </row>
    <row r="160" spans="2:2" x14ac:dyDescent="0.4">
      <c r="B160" s="64" t="s">
        <v>710</v>
      </c>
    </row>
    <row r="161" spans="2:2" x14ac:dyDescent="0.4">
      <c r="B161" s="64" t="s">
        <v>711</v>
      </c>
    </row>
    <row r="162" spans="2:2" x14ac:dyDescent="0.4">
      <c r="B162" s="64" t="s">
        <v>712</v>
      </c>
    </row>
    <row r="163" spans="2:2" x14ac:dyDescent="0.4">
      <c r="B163" s="64" t="s">
        <v>578</v>
      </c>
    </row>
    <row r="164" spans="2:2" x14ac:dyDescent="0.4">
      <c r="B164" s="64" t="s">
        <v>713</v>
      </c>
    </row>
    <row r="165" spans="2:2" x14ac:dyDescent="0.4">
      <c r="B165" s="64" t="s">
        <v>585</v>
      </c>
    </row>
    <row r="166" spans="2:2" x14ac:dyDescent="0.4">
      <c r="B166" s="64" t="s">
        <v>714</v>
      </c>
    </row>
    <row r="167" spans="2:2" x14ac:dyDescent="0.4">
      <c r="B167" s="64" t="s">
        <v>715</v>
      </c>
    </row>
    <row r="168" spans="2:2" x14ac:dyDescent="0.4">
      <c r="B168" s="64" t="s">
        <v>586</v>
      </c>
    </row>
  </sheetData>
  <mergeCells count="1">
    <mergeCell ref="B1:G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Check Box 3">
              <controlPr defaultSize="0" autoFill="0" autoLine="0" autoPict="0" altText="">
                <anchor moveWithCells="1">
                  <from>
                    <xdr:col>5</xdr:col>
                    <xdr:colOff>137160</xdr:colOff>
                    <xdr:row>0</xdr:row>
                    <xdr:rowOff>83820</xdr:rowOff>
                  </from>
                  <to>
                    <xdr:col>6</xdr:col>
                    <xdr:colOff>114300</xdr:colOff>
                    <xdr:row>0</xdr:row>
                    <xdr:rowOff>312420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57B0-53DE-41CF-B60F-E4CF9C70AC5E}">
  <sheetPr>
    <tabColor theme="1"/>
  </sheetPr>
  <dimension ref="B1:G168"/>
  <sheetViews>
    <sheetView topLeftCell="B1" zoomScale="160" zoomScaleNormal="160" workbookViewId="0">
      <selection activeCell="E3" sqref="E3"/>
    </sheetView>
  </sheetViews>
  <sheetFormatPr defaultRowHeight="16.8" x14ac:dyDescent="0.4"/>
  <cols>
    <col min="1" max="1" width="1.59765625" customWidth="1"/>
    <col min="2" max="2" width="15.69921875" bestFit="1" customWidth="1"/>
    <col min="3" max="3" width="13.19921875" customWidth="1"/>
    <col min="4" max="4" width="4" customWidth="1"/>
    <col min="5" max="5" width="30.59765625" bestFit="1" customWidth="1"/>
    <col min="6" max="6" width="3.69921875" customWidth="1"/>
    <col min="7" max="7" width="15.8984375" customWidth="1"/>
  </cols>
  <sheetData>
    <row r="1" spans="2:7" ht="26.25" customHeight="1" x14ac:dyDescent="0.4">
      <c r="B1" s="102" t="s">
        <v>717</v>
      </c>
      <c r="C1" s="102"/>
      <c r="D1" s="102"/>
      <c r="E1" s="102"/>
      <c r="F1" s="102"/>
      <c r="G1" s="102"/>
    </row>
    <row r="2" spans="2:7" x14ac:dyDescent="0.4">
      <c r="B2" s="9" t="s">
        <v>138</v>
      </c>
      <c r="C2" s="9" t="s">
        <v>38</v>
      </c>
      <c r="E2" s="6" t="s">
        <v>718</v>
      </c>
    </row>
    <row r="3" spans="2:7" x14ac:dyDescent="0.4">
      <c r="B3" s="64" t="s">
        <v>569</v>
      </c>
      <c r="C3" s="7" t="s">
        <v>17</v>
      </c>
      <c r="E3" s="8"/>
    </row>
    <row r="4" spans="2:7" x14ac:dyDescent="0.4">
      <c r="B4" s="64" t="s">
        <v>570</v>
      </c>
      <c r="C4" s="7" t="s">
        <v>18</v>
      </c>
    </row>
    <row r="5" spans="2:7" x14ac:dyDescent="0.4">
      <c r="B5" s="64" t="s">
        <v>571</v>
      </c>
      <c r="C5" s="7" t="s">
        <v>214</v>
      </c>
    </row>
    <row r="6" spans="2:7" x14ac:dyDescent="0.4">
      <c r="B6" s="64" t="s">
        <v>572</v>
      </c>
      <c r="C6" s="7" t="s">
        <v>217</v>
      </c>
    </row>
    <row r="7" spans="2:7" x14ac:dyDescent="0.4">
      <c r="B7" s="64" t="s">
        <v>573</v>
      </c>
      <c r="C7" s="7" t="s">
        <v>17</v>
      </c>
    </row>
    <row r="8" spans="2:7" x14ac:dyDescent="0.4">
      <c r="B8" s="64" t="s">
        <v>574</v>
      </c>
      <c r="C8" s="7" t="s">
        <v>18</v>
      </c>
    </row>
    <row r="9" spans="2:7" x14ac:dyDescent="0.4">
      <c r="B9" s="64" t="s">
        <v>575</v>
      </c>
      <c r="C9" s="7" t="s">
        <v>214</v>
      </c>
    </row>
    <row r="10" spans="2:7" x14ac:dyDescent="0.4">
      <c r="B10" s="64" t="s">
        <v>576</v>
      </c>
      <c r="C10" s="7" t="s">
        <v>17</v>
      </c>
    </row>
    <row r="11" spans="2:7" x14ac:dyDescent="0.4">
      <c r="B11" s="64" t="s">
        <v>577</v>
      </c>
      <c r="C11" s="7" t="s">
        <v>17</v>
      </c>
    </row>
    <row r="12" spans="2:7" x14ac:dyDescent="0.4">
      <c r="B12" s="64" t="s">
        <v>578</v>
      </c>
      <c r="C12" s="7" t="s">
        <v>18</v>
      </c>
    </row>
    <row r="13" spans="2:7" x14ac:dyDescent="0.4">
      <c r="B13" s="64" t="s">
        <v>579</v>
      </c>
      <c r="C13" s="7" t="s">
        <v>214</v>
      </c>
    </row>
    <row r="14" spans="2:7" x14ac:dyDescent="0.4">
      <c r="B14" s="64" t="s">
        <v>580</v>
      </c>
      <c r="C14" s="7"/>
    </row>
    <row r="15" spans="2:7" x14ac:dyDescent="0.4">
      <c r="B15" s="64" t="s">
        <v>581</v>
      </c>
      <c r="C15" s="7" t="s">
        <v>17</v>
      </c>
    </row>
    <row r="16" spans="2:7" x14ac:dyDescent="0.4">
      <c r="B16" s="64" t="s">
        <v>582</v>
      </c>
      <c r="C16" s="7" t="s">
        <v>18</v>
      </c>
    </row>
    <row r="17" spans="2:3" x14ac:dyDescent="0.4">
      <c r="B17" s="64" t="s">
        <v>583</v>
      </c>
      <c r="C17" s="7" t="s">
        <v>214</v>
      </c>
    </row>
    <row r="18" spans="2:3" x14ac:dyDescent="0.4">
      <c r="B18" s="64" t="s">
        <v>584</v>
      </c>
      <c r="C18" s="7"/>
    </row>
    <row r="19" spans="2:3" x14ac:dyDescent="0.4">
      <c r="B19" s="64" t="s">
        <v>585</v>
      </c>
      <c r="C19" s="7" t="s">
        <v>17</v>
      </c>
    </row>
    <row r="20" spans="2:3" x14ac:dyDescent="0.4">
      <c r="B20" s="64" t="s">
        <v>586</v>
      </c>
      <c r="C20" s="7" t="s">
        <v>18</v>
      </c>
    </row>
    <row r="21" spans="2:3" x14ac:dyDescent="0.4">
      <c r="B21" s="64" t="s">
        <v>587</v>
      </c>
      <c r="C21" s="7" t="s">
        <v>214</v>
      </c>
    </row>
    <row r="22" spans="2:3" x14ac:dyDescent="0.4">
      <c r="B22" s="64" t="s">
        <v>588</v>
      </c>
      <c r="C22" s="7"/>
    </row>
    <row r="23" spans="2:3" x14ac:dyDescent="0.4">
      <c r="B23" s="64" t="s">
        <v>589</v>
      </c>
      <c r="C23" s="7" t="s">
        <v>17</v>
      </c>
    </row>
    <row r="24" spans="2:3" x14ac:dyDescent="0.4">
      <c r="B24" s="64" t="s">
        <v>590</v>
      </c>
      <c r="C24" s="7" t="s">
        <v>18</v>
      </c>
    </row>
    <row r="25" spans="2:3" x14ac:dyDescent="0.4">
      <c r="B25" s="64" t="s">
        <v>591</v>
      </c>
      <c r="C25" s="7" t="s">
        <v>214</v>
      </c>
    </row>
    <row r="26" spans="2:3" x14ac:dyDescent="0.4">
      <c r="B26" s="64" t="s">
        <v>592</v>
      </c>
      <c r="C26" s="7"/>
    </row>
    <row r="27" spans="2:3" x14ac:dyDescent="0.4">
      <c r="B27" s="64" t="s">
        <v>593</v>
      </c>
      <c r="C27" s="7" t="s">
        <v>17</v>
      </c>
    </row>
    <row r="28" spans="2:3" x14ac:dyDescent="0.4">
      <c r="B28" s="64" t="s">
        <v>594</v>
      </c>
      <c r="C28" s="7" t="s">
        <v>18</v>
      </c>
    </row>
    <row r="29" spans="2:3" x14ac:dyDescent="0.4">
      <c r="B29" s="64" t="s">
        <v>595</v>
      </c>
      <c r="C29" s="7" t="s">
        <v>214</v>
      </c>
    </row>
    <row r="30" spans="2:3" x14ac:dyDescent="0.4">
      <c r="B30" s="64" t="s">
        <v>596</v>
      </c>
      <c r="C30" s="7"/>
    </row>
    <row r="31" spans="2:3" x14ac:dyDescent="0.4">
      <c r="B31" s="64" t="s">
        <v>597</v>
      </c>
      <c r="C31" s="7" t="s">
        <v>17</v>
      </c>
    </row>
    <row r="32" spans="2:3" x14ac:dyDescent="0.4">
      <c r="B32" s="64" t="s">
        <v>598</v>
      </c>
      <c r="C32" s="7" t="s">
        <v>18</v>
      </c>
    </row>
    <row r="33" spans="2:3" x14ac:dyDescent="0.4">
      <c r="B33" s="64" t="s">
        <v>599</v>
      </c>
      <c r="C33" s="7" t="s">
        <v>214</v>
      </c>
    </row>
    <row r="34" spans="2:3" x14ac:dyDescent="0.4">
      <c r="B34" s="64" t="s">
        <v>600</v>
      </c>
      <c r="C34" s="7"/>
    </row>
    <row r="35" spans="2:3" x14ac:dyDescent="0.4">
      <c r="B35" s="64" t="s">
        <v>601</v>
      </c>
      <c r="C35" s="7" t="s">
        <v>17</v>
      </c>
    </row>
    <row r="36" spans="2:3" x14ac:dyDescent="0.4">
      <c r="B36" s="64" t="s">
        <v>602</v>
      </c>
      <c r="C36" s="7" t="s">
        <v>18</v>
      </c>
    </row>
    <row r="37" spans="2:3" x14ac:dyDescent="0.4">
      <c r="B37" s="64" t="s">
        <v>603</v>
      </c>
      <c r="C37" s="7" t="s">
        <v>214</v>
      </c>
    </row>
    <row r="38" spans="2:3" x14ac:dyDescent="0.4">
      <c r="B38" s="64" t="s">
        <v>604</v>
      </c>
      <c r="C38" s="7"/>
    </row>
    <row r="39" spans="2:3" x14ac:dyDescent="0.4">
      <c r="B39" s="64" t="s">
        <v>605</v>
      </c>
      <c r="C39" s="7" t="s">
        <v>17</v>
      </c>
    </row>
    <row r="40" spans="2:3" x14ac:dyDescent="0.4">
      <c r="B40" s="64" t="s">
        <v>606</v>
      </c>
      <c r="C40" s="7" t="s">
        <v>18</v>
      </c>
    </row>
    <row r="41" spans="2:3" x14ac:dyDescent="0.4">
      <c r="B41" s="64" t="s">
        <v>607</v>
      </c>
      <c r="C41" s="7" t="s">
        <v>214</v>
      </c>
    </row>
    <row r="42" spans="2:3" x14ac:dyDescent="0.4">
      <c r="B42" s="64" t="s">
        <v>608</v>
      </c>
      <c r="C42" s="7"/>
    </row>
    <row r="43" spans="2:3" x14ac:dyDescent="0.4">
      <c r="B43" s="64" t="s">
        <v>609</v>
      </c>
      <c r="C43" s="7" t="s">
        <v>17</v>
      </c>
    </row>
    <row r="44" spans="2:3" x14ac:dyDescent="0.4">
      <c r="B44" s="64" t="s">
        <v>610</v>
      </c>
      <c r="C44" s="7" t="s">
        <v>18</v>
      </c>
    </row>
    <row r="45" spans="2:3" x14ac:dyDescent="0.4">
      <c r="B45" s="64" t="s">
        <v>611</v>
      </c>
      <c r="C45" s="7" t="s">
        <v>214</v>
      </c>
    </row>
    <row r="46" spans="2:3" x14ac:dyDescent="0.4">
      <c r="B46" s="64" t="s">
        <v>579</v>
      </c>
      <c r="C46" s="7"/>
    </row>
    <row r="47" spans="2:3" x14ac:dyDescent="0.4">
      <c r="B47" s="64" t="s">
        <v>612</v>
      </c>
      <c r="C47" s="7" t="s">
        <v>17</v>
      </c>
    </row>
    <row r="48" spans="2:3" x14ac:dyDescent="0.4">
      <c r="B48" s="64" t="s">
        <v>613</v>
      </c>
      <c r="C48" s="7" t="s">
        <v>18</v>
      </c>
    </row>
    <row r="49" spans="2:3" x14ac:dyDescent="0.4">
      <c r="B49" s="64" t="s">
        <v>614</v>
      </c>
      <c r="C49" s="7" t="s">
        <v>214</v>
      </c>
    </row>
    <row r="50" spans="2:3" x14ac:dyDescent="0.4">
      <c r="B50" s="64" t="s">
        <v>615</v>
      </c>
      <c r="C50" s="7"/>
    </row>
    <row r="51" spans="2:3" x14ac:dyDescent="0.4">
      <c r="B51" s="64" t="s">
        <v>616</v>
      </c>
      <c r="C51" s="7" t="s">
        <v>17</v>
      </c>
    </row>
    <row r="52" spans="2:3" x14ac:dyDescent="0.4">
      <c r="B52" s="64" t="s">
        <v>617</v>
      </c>
      <c r="C52" s="7" t="s">
        <v>18</v>
      </c>
    </row>
    <row r="53" spans="2:3" x14ac:dyDescent="0.4">
      <c r="B53" s="64" t="s">
        <v>618</v>
      </c>
      <c r="C53" s="7" t="s">
        <v>214</v>
      </c>
    </row>
    <row r="54" spans="2:3" x14ac:dyDescent="0.4">
      <c r="B54" s="64" t="s">
        <v>619</v>
      </c>
      <c r="C54" s="7"/>
    </row>
    <row r="55" spans="2:3" x14ac:dyDescent="0.4">
      <c r="B55" s="64" t="s">
        <v>620</v>
      </c>
      <c r="C55" s="7" t="s">
        <v>17</v>
      </c>
    </row>
    <row r="56" spans="2:3" x14ac:dyDescent="0.4">
      <c r="B56" s="64" t="s">
        <v>621</v>
      </c>
      <c r="C56" s="7" t="s">
        <v>18</v>
      </c>
    </row>
    <row r="57" spans="2:3" x14ac:dyDescent="0.4">
      <c r="B57" s="64" t="s">
        <v>622</v>
      </c>
      <c r="C57" s="7" t="s">
        <v>214</v>
      </c>
    </row>
    <row r="58" spans="2:3" x14ac:dyDescent="0.4">
      <c r="B58" s="64" t="s">
        <v>623</v>
      </c>
      <c r="C58" s="7"/>
    </row>
    <row r="59" spans="2:3" x14ac:dyDescent="0.4">
      <c r="B59" s="64" t="s">
        <v>588</v>
      </c>
      <c r="C59" s="7" t="s">
        <v>17</v>
      </c>
    </row>
    <row r="60" spans="2:3" x14ac:dyDescent="0.4">
      <c r="B60" s="64" t="s">
        <v>624</v>
      </c>
      <c r="C60" s="7" t="s">
        <v>18</v>
      </c>
    </row>
    <row r="61" spans="2:3" x14ac:dyDescent="0.4">
      <c r="B61" s="64" t="s">
        <v>625</v>
      </c>
      <c r="C61" s="7" t="s">
        <v>214</v>
      </c>
    </row>
    <row r="62" spans="2:3" x14ac:dyDescent="0.4">
      <c r="B62" s="64" t="s">
        <v>626</v>
      </c>
      <c r="C62" s="7"/>
    </row>
    <row r="63" spans="2:3" x14ac:dyDescent="0.4">
      <c r="B63" s="64" t="s">
        <v>627</v>
      </c>
      <c r="C63" s="7" t="s">
        <v>17</v>
      </c>
    </row>
    <row r="64" spans="2:3" x14ac:dyDescent="0.4">
      <c r="B64" s="64" t="s">
        <v>628</v>
      </c>
      <c r="C64" s="7" t="s">
        <v>18</v>
      </c>
    </row>
    <row r="65" spans="2:3" x14ac:dyDescent="0.4">
      <c r="B65" s="64" t="s">
        <v>629</v>
      </c>
      <c r="C65" s="7" t="s">
        <v>214</v>
      </c>
    </row>
    <row r="66" spans="2:3" x14ac:dyDescent="0.4">
      <c r="B66" s="64" t="s">
        <v>630</v>
      </c>
      <c r="C66" s="7"/>
    </row>
    <row r="67" spans="2:3" x14ac:dyDescent="0.4">
      <c r="B67" s="64" t="s">
        <v>631</v>
      </c>
      <c r="C67" s="7" t="s">
        <v>17</v>
      </c>
    </row>
    <row r="68" spans="2:3" x14ac:dyDescent="0.4">
      <c r="B68" s="64" t="s">
        <v>632</v>
      </c>
      <c r="C68" s="7" t="s">
        <v>18</v>
      </c>
    </row>
    <row r="69" spans="2:3" x14ac:dyDescent="0.4">
      <c r="B69" s="64" t="s">
        <v>633</v>
      </c>
      <c r="C69" s="7" t="s">
        <v>214</v>
      </c>
    </row>
    <row r="70" spans="2:3" x14ac:dyDescent="0.4">
      <c r="B70" s="64" t="s">
        <v>634</v>
      </c>
      <c r="C70" s="7"/>
    </row>
    <row r="71" spans="2:3" x14ac:dyDescent="0.4">
      <c r="B71" s="64" t="s">
        <v>635</v>
      </c>
      <c r="C71" s="7" t="s">
        <v>17</v>
      </c>
    </row>
    <row r="72" spans="2:3" x14ac:dyDescent="0.4">
      <c r="B72" s="64" t="s">
        <v>636</v>
      </c>
      <c r="C72" s="7" t="s">
        <v>18</v>
      </c>
    </row>
    <row r="73" spans="2:3" x14ac:dyDescent="0.4">
      <c r="B73" s="64" t="s">
        <v>637</v>
      </c>
      <c r="C73" s="7" t="s">
        <v>214</v>
      </c>
    </row>
    <row r="74" spans="2:3" x14ac:dyDescent="0.4">
      <c r="B74" s="64" t="s">
        <v>638</v>
      </c>
      <c r="C74" s="7"/>
    </row>
    <row r="75" spans="2:3" x14ac:dyDescent="0.4">
      <c r="B75" s="64" t="s">
        <v>584</v>
      </c>
      <c r="C75" s="7" t="s">
        <v>17</v>
      </c>
    </row>
    <row r="76" spans="2:3" x14ac:dyDescent="0.4">
      <c r="B76" s="64" t="s">
        <v>639</v>
      </c>
      <c r="C76" s="7" t="s">
        <v>18</v>
      </c>
    </row>
    <row r="77" spans="2:3" x14ac:dyDescent="0.4">
      <c r="B77" s="64" t="s">
        <v>640</v>
      </c>
      <c r="C77" s="7" t="s">
        <v>214</v>
      </c>
    </row>
    <row r="78" spans="2:3" x14ac:dyDescent="0.4">
      <c r="B78" s="64" t="s">
        <v>641</v>
      </c>
      <c r="C78" s="7"/>
    </row>
    <row r="79" spans="2:3" x14ac:dyDescent="0.4">
      <c r="B79" s="64" t="s">
        <v>642</v>
      </c>
      <c r="C79" s="7" t="s">
        <v>17</v>
      </c>
    </row>
    <row r="80" spans="2:3" x14ac:dyDescent="0.4">
      <c r="B80" s="64" t="s">
        <v>643</v>
      </c>
      <c r="C80" s="7" t="s">
        <v>18</v>
      </c>
    </row>
    <row r="81" spans="2:3" ht="33.6" x14ac:dyDescent="0.4">
      <c r="B81" s="64" t="s">
        <v>644</v>
      </c>
      <c r="C81" s="7" t="s">
        <v>214</v>
      </c>
    </row>
    <row r="82" spans="2:3" x14ac:dyDescent="0.4">
      <c r="B82" s="64" t="s">
        <v>645</v>
      </c>
      <c r="C82" s="7"/>
    </row>
    <row r="83" spans="2:3" x14ac:dyDescent="0.4">
      <c r="B83" s="64" t="s">
        <v>646</v>
      </c>
      <c r="C83" s="7" t="s">
        <v>17</v>
      </c>
    </row>
    <row r="84" spans="2:3" x14ac:dyDescent="0.4">
      <c r="B84" s="64" t="s">
        <v>647</v>
      </c>
      <c r="C84" s="7" t="s">
        <v>18</v>
      </c>
    </row>
    <row r="85" spans="2:3" x14ac:dyDescent="0.4">
      <c r="B85" s="64" t="s">
        <v>648</v>
      </c>
      <c r="C85" s="7" t="s">
        <v>214</v>
      </c>
    </row>
    <row r="86" spans="2:3" x14ac:dyDescent="0.4">
      <c r="B86" s="64" t="s">
        <v>649</v>
      </c>
      <c r="C86" s="7"/>
    </row>
    <row r="87" spans="2:3" x14ac:dyDescent="0.4">
      <c r="B87" s="64" t="s">
        <v>650</v>
      </c>
      <c r="C87" s="7" t="s">
        <v>17</v>
      </c>
    </row>
    <row r="88" spans="2:3" x14ac:dyDescent="0.4">
      <c r="B88" s="64" t="s">
        <v>651</v>
      </c>
      <c r="C88" s="7" t="s">
        <v>18</v>
      </c>
    </row>
    <row r="89" spans="2:3" x14ac:dyDescent="0.4">
      <c r="B89" s="64" t="s">
        <v>652</v>
      </c>
      <c r="C89" s="7" t="s">
        <v>214</v>
      </c>
    </row>
    <row r="90" spans="2:3" x14ac:dyDescent="0.4">
      <c r="B90" s="64" t="s">
        <v>653</v>
      </c>
      <c r="C90" s="7"/>
    </row>
    <row r="91" spans="2:3" x14ac:dyDescent="0.4">
      <c r="B91" s="64" t="s">
        <v>654</v>
      </c>
      <c r="C91" s="7" t="s">
        <v>17</v>
      </c>
    </row>
    <row r="92" spans="2:3" x14ac:dyDescent="0.4">
      <c r="B92" s="64" t="s">
        <v>655</v>
      </c>
      <c r="C92" s="7" t="s">
        <v>18</v>
      </c>
    </row>
    <row r="93" spans="2:3" x14ac:dyDescent="0.4">
      <c r="B93" s="64" t="s">
        <v>616</v>
      </c>
      <c r="C93" s="7" t="s">
        <v>214</v>
      </c>
    </row>
    <row r="94" spans="2:3" x14ac:dyDescent="0.4">
      <c r="B94" s="64" t="s">
        <v>656</v>
      </c>
      <c r="C94" s="7"/>
    </row>
    <row r="95" spans="2:3" x14ac:dyDescent="0.4">
      <c r="B95" s="64" t="s">
        <v>579</v>
      </c>
      <c r="C95" s="7" t="s">
        <v>17</v>
      </c>
    </row>
    <row r="96" spans="2:3" x14ac:dyDescent="0.4">
      <c r="B96" s="64" t="s">
        <v>657</v>
      </c>
      <c r="C96" s="7" t="s">
        <v>18</v>
      </c>
    </row>
    <row r="97" spans="2:3" x14ac:dyDescent="0.4">
      <c r="B97" s="64" t="s">
        <v>658</v>
      </c>
      <c r="C97" s="7" t="s">
        <v>214</v>
      </c>
    </row>
    <row r="98" spans="2:3" x14ac:dyDescent="0.4">
      <c r="B98" s="64" t="s">
        <v>659</v>
      </c>
      <c r="C98" s="7"/>
    </row>
    <row r="99" spans="2:3" x14ac:dyDescent="0.4">
      <c r="B99" s="64" t="s">
        <v>660</v>
      </c>
      <c r="C99" s="7" t="s">
        <v>17</v>
      </c>
    </row>
    <row r="100" spans="2:3" x14ac:dyDescent="0.4">
      <c r="B100" s="64" t="s">
        <v>661</v>
      </c>
      <c r="C100" s="7" t="s">
        <v>18</v>
      </c>
    </row>
    <row r="101" spans="2:3" x14ac:dyDescent="0.4">
      <c r="B101" s="64" t="s">
        <v>662</v>
      </c>
      <c r="C101" s="7" t="s">
        <v>214</v>
      </c>
    </row>
    <row r="102" spans="2:3" x14ac:dyDescent="0.4">
      <c r="B102" s="64" t="s">
        <v>663</v>
      </c>
      <c r="C102" s="7"/>
    </row>
    <row r="103" spans="2:3" x14ac:dyDescent="0.4">
      <c r="B103" s="64" t="s">
        <v>574</v>
      </c>
      <c r="C103" s="7" t="s">
        <v>17</v>
      </c>
    </row>
    <row r="104" spans="2:3" x14ac:dyDescent="0.4">
      <c r="B104" s="64" t="s">
        <v>664</v>
      </c>
      <c r="C104" s="7" t="s">
        <v>18</v>
      </c>
    </row>
    <row r="105" spans="2:3" x14ac:dyDescent="0.4">
      <c r="B105" s="64" t="s">
        <v>665</v>
      </c>
      <c r="C105" s="7" t="s">
        <v>214</v>
      </c>
    </row>
    <row r="106" spans="2:3" x14ac:dyDescent="0.4">
      <c r="B106" s="64" t="s">
        <v>666</v>
      </c>
      <c r="C106" s="7"/>
    </row>
    <row r="107" spans="2:3" x14ac:dyDescent="0.4">
      <c r="B107" s="64" t="s">
        <v>667</v>
      </c>
      <c r="C107" s="7" t="s">
        <v>17</v>
      </c>
    </row>
    <row r="108" spans="2:3" x14ac:dyDescent="0.4">
      <c r="B108" s="64" t="s">
        <v>668</v>
      </c>
      <c r="C108" s="7" t="s">
        <v>18</v>
      </c>
    </row>
    <row r="109" spans="2:3" x14ac:dyDescent="0.4">
      <c r="B109" s="64" t="s">
        <v>591</v>
      </c>
      <c r="C109" s="7" t="s">
        <v>214</v>
      </c>
    </row>
    <row r="110" spans="2:3" x14ac:dyDescent="0.4">
      <c r="B110" s="64" t="s">
        <v>669</v>
      </c>
      <c r="C110" s="7"/>
    </row>
    <row r="111" spans="2:3" x14ac:dyDescent="0.4">
      <c r="B111" s="64" t="s">
        <v>623</v>
      </c>
      <c r="C111" s="7" t="s">
        <v>17</v>
      </c>
    </row>
    <row r="112" spans="2:3" x14ac:dyDescent="0.4">
      <c r="B112" s="64" t="s">
        <v>670</v>
      </c>
      <c r="C112" s="7" t="s">
        <v>18</v>
      </c>
    </row>
    <row r="113" spans="2:3" x14ac:dyDescent="0.4">
      <c r="B113" s="64" t="s">
        <v>671</v>
      </c>
      <c r="C113" s="7" t="s">
        <v>214</v>
      </c>
    </row>
    <row r="114" spans="2:3" x14ac:dyDescent="0.4">
      <c r="B114" s="64" t="s">
        <v>587</v>
      </c>
      <c r="C114" s="7"/>
    </row>
    <row r="115" spans="2:3" x14ac:dyDescent="0.4">
      <c r="B115" s="64" t="s">
        <v>672</v>
      </c>
      <c r="C115" s="7" t="s">
        <v>17</v>
      </c>
    </row>
    <row r="116" spans="2:3" x14ac:dyDescent="0.4">
      <c r="B116" s="64" t="s">
        <v>580</v>
      </c>
      <c r="C116" s="7" t="s">
        <v>18</v>
      </c>
    </row>
    <row r="117" spans="2:3" x14ac:dyDescent="0.4">
      <c r="B117" s="64" t="s">
        <v>645</v>
      </c>
      <c r="C117" s="7" t="s">
        <v>214</v>
      </c>
    </row>
    <row r="118" spans="2:3" x14ac:dyDescent="0.4">
      <c r="B118" s="64" t="s">
        <v>673</v>
      </c>
      <c r="C118" s="7"/>
    </row>
    <row r="119" spans="2:3" x14ac:dyDescent="0.4">
      <c r="B119" s="64" t="s">
        <v>674</v>
      </c>
      <c r="C119" s="7" t="s">
        <v>17</v>
      </c>
    </row>
    <row r="120" spans="2:3" x14ac:dyDescent="0.4">
      <c r="B120" s="64" t="s">
        <v>675</v>
      </c>
      <c r="C120" s="7" t="s">
        <v>18</v>
      </c>
    </row>
    <row r="121" spans="2:3" x14ac:dyDescent="0.4">
      <c r="B121" s="64" t="s">
        <v>676</v>
      </c>
      <c r="C121" s="7" t="s">
        <v>214</v>
      </c>
    </row>
    <row r="122" spans="2:3" x14ac:dyDescent="0.4">
      <c r="B122" s="64" t="s">
        <v>677</v>
      </c>
      <c r="C122" s="7"/>
    </row>
    <row r="123" spans="2:3" x14ac:dyDescent="0.4">
      <c r="B123" s="64" t="s">
        <v>678</v>
      </c>
      <c r="C123" s="7" t="s">
        <v>17</v>
      </c>
    </row>
    <row r="124" spans="2:3" ht="33.6" x14ac:dyDescent="0.4">
      <c r="B124" s="64" t="s">
        <v>679</v>
      </c>
      <c r="C124" s="7" t="s">
        <v>18</v>
      </c>
    </row>
    <row r="125" spans="2:3" x14ac:dyDescent="0.4">
      <c r="B125" s="64" t="s">
        <v>680</v>
      </c>
      <c r="C125" s="7" t="s">
        <v>214</v>
      </c>
    </row>
    <row r="126" spans="2:3" x14ac:dyDescent="0.4">
      <c r="B126" s="64" t="s">
        <v>681</v>
      </c>
      <c r="C126" s="7"/>
    </row>
    <row r="127" spans="2:3" x14ac:dyDescent="0.4">
      <c r="B127" s="64" t="s">
        <v>682</v>
      </c>
      <c r="C127" s="7" t="s">
        <v>17</v>
      </c>
    </row>
    <row r="128" spans="2:3" x14ac:dyDescent="0.4">
      <c r="B128" s="64" t="s">
        <v>683</v>
      </c>
      <c r="C128" s="7" t="s">
        <v>18</v>
      </c>
    </row>
    <row r="129" spans="2:3" x14ac:dyDescent="0.4">
      <c r="B129" s="64" t="s">
        <v>684</v>
      </c>
      <c r="C129" s="7" t="s">
        <v>214</v>
      </c>
    </row>
    <row r="130" spans="2:3" x14ac:dyDescent="0.4">
      <c r="B130" s="64" t="s">
        <v>685</v>
      </c>
      <c r="C130" s="7"/>
    </row>
    <row r="131" spans="2:3" x14ac:dyDescent="0.4">
      <c r="B131" s="64" t="s">
        <v>686</v>
      </c>
      <c r="C131" s="7" t="s">
        <v>17</v>
      </c>
    </row>
    <row r="132" spans="2:3" x14ac:dyDescent="0.4">
      <c r="B132" s="64" t="s">
        <v>687</v>
      </c>
      <c r="C132" s="7" t="s">
        <v>18</v>
      </c>
    </row>
    <row r="133" spans="2:3" x14ac:dyDescent="0.4">
      <c r="B133" s="64" t="s">
        <v>688</v>
      </c>
      <c r="C133" s="7" t="s">
        <v>214</v>
      </c>
    </row>
    <row r="134" spans="2:3" x14ac:dyDescent="0.4">
      <c r="B134" s="64" t="s">
        <v>689</v>
      </c>
      <c r="C134" s="7"/>
    </row>
    <row r="135" spans="2:3" x14ac:dyDescent="0.4">
      <c r="B135" s="64" t="s">
        <v>658</v>
      </c>
      <c r="C135" s="7" t="s">
        <v>17</v>
      </c>
    </row>
    <row r="136" spans="2:3" x14ac:dyDescent="0.4">
      <c r="B136" s="64" t="s">
        <v>690</v>
      </c>
      <c r="C136" s="7" t="s">
        <v>18</v>
      </c>
    </row>
    <row r="137" spans="2:3" x14ac:dyDescent="0.4">
      <c r="B137" s="64" t="s">
        <v>691</v>
      </c>
      <c r="C137" s="7" t="s">
        <v>214</v>
      </c>
    </row>
    <row r="138" spans="2:3" x14ac:dyDescent="0.4">
      <c r="B138" s="64" t="s">
        <v>692</v>
      </c>
      <c r="C138" s="7"/>
    </row>
    <row r="139" spans="2:3" x14ac:dyDescent="0.4">
      <c r="B139" s="64" t="s">
        <v>693</v>
      </c>
      <c r="C139" s="7" t="s">
        <v>17</v>
      </c>
    </row>
    <row r="140" spans="2:3" x14ac:dyDescent="0.4">
      <c r="B140" s="64" t="s">
        <v>694</v>
      </c>
      <c r="C140" s="7" t="s">
        <v>18</v>
      </c>
    </row>
    <row r="141" spans="2:3" x14ac:dyDescent="0.4">
      <c r="B141" s="64" t="s">
        <v>640</v>
      </c>
      <c r="C141" s="7" t="s">
        <v>214</v>
      </c>
    </row>
    <row r="142" spans="2:3" x14ac:dyDescent="0.4">
      <c r="B142" s="64" t="s">
        <v>695</v>
      </c>
      <c r="C142" s="7"/>
    </row>
    <row r="143" spans="2:3" x14ac:dyDescent="0.4">
      <c r="B143" s="64" t="s">
        <v>696</v>
      </c>
      <c r="C143" s="7" t="s">
        <v>17</v>
      </c>
    </row>
    <row r="144" spans="2:3" x14ac:dyDescent="0.4">
      <c r="B144" s="64" t="s">
        <v>697</v>
      </c>
      <c r="C144" s="7" t="s">
        <v>18</v>
      </c>
    </row>
    <row r="145" spans="2:3" x14ac:dyDescent="0.4">
      <c r="B145" s="64" t="s">
        <v>698</v>
      </c>
      <c r="C145" s="7" t="s">
        <v>214</v>
      </c>
    </row>
    <row r="146" spans="2:3" x14ac:dyDescent="0.4">
      <c r="B146" s="64" t="s">
        <v>699</v>
      </c>
      <c r="C146" s="7"/>
    </row>
    <row r="147" spans="2:3" x14ac:dyDescent="0.4">
      <c r="B147" s="64" t="s">
        <v>600</v>
      </c>
      <c r="C147" s="7" t="s">
        <v>17</v>
      </c>
    </row>
    <row r="148" spans="2:3" ht="33.6" x14ac:dyDescent="0.4">
      <c r="B148" s="64" t="s">
        <v>644</v>
      </c>
      <c r="C148" s="7" t="s">
        <v>18</v>
      </c>
    </row>
    <row r="149" spans="2:3" x14ac:dyDescent="0.4">
      <c r="B149" s="64" t="s">
        <v>700</v>
      </c>
      <c r="C149" s="7" t="s">
        <v>214</v>
      </c>
    </row>
    <row r="150" spans="2:3" x14ac:dyDescent="0.4">
      <c r="B150" s="64" t="s">
        <v>701</v>
      </c>
      <c r="C150" s="7"/>
    </row>
    <row r="151" spans="2:3" x14ac:dyDescent="0.4">
      <c r="B151" s="64" t="s">
        <v>702</v>
      </c>
      <c r="C151" s="7" t="s">
        <v>17</v>
      </c>
    </row>
    <row r="152" spans="2:3" x14ac:dyDescent="0.4">
      <c r="B152" s="64" t="s">
        <v>592</v>
      </c>
      <c r="C152" s="7" t="s">
        <v>18</v>
      </c>
    </row>
    <row r="153" spans="2:3" x14ac:dyDescent="0.4">
      <c r="B153" s="64" t="s">
        <v>703</v>
      </c>
      <c r="C153" s="7" t="s">
        <v>214</v>
      </c>
    </row>
    <row r="154" spans="2:3" x14ac:dyDescent="0.4">
      <c r="B154" s="64" t="s">
        <v>704</v>
      </c>
      <c r="C154" s="7"/>
    </row>
    <row r="155" spans="2:3" x14ac:dyDescent="0.4">
      <c r="B155" s="64" t="s">
        <v>705</v>
      </c>
      <c r="C155" s="7" t="s">
        <v>17</v>
      </c>
    </row>
    <row r="156" spans="2:3" x14ac:dyDescent="0.4">
      <c r="B156" s="64" t="s">
        <v>706</v>
      </c>
      <c r="C156" s="7" t="s">
        <v>18</v>
      </c>
    </row>
    <row r="157" spans="2:3" x14ac:dyDescent="0.4">
      <c r="B157" s="64" t="s">
        <v>707</v>
      </c>
      <c r="C157" s="7" t="s">
        <v>214</v>
      </c>
    </row>
    <row r="158" spans="2:3" x14ac:dyDescent="0.4">
      <c r="B158" s="64" t="s">
        <v>708</v>
      </c>
      <c r="C158" s="7"/>
    </row>
    <row r="159" spans="2:3" x14ac:dyDescent="0.4">
      <c r="B159" s="64" t="s">
        <v>709</v>
      </c>
      <c r="C159" s="7" t="s">
        <v>17</v>
      </c>
    </row>
    <row r="160" spans="2:3" x14ac:dyDescent="0.4">
      <c r="B160" s="64" t="s">
        <v>710</v>
      </c>
      <c r="C160" s="7" t="s">
        <v>18</v>
      </c>
    </row>
    <row r="161" spans="2:3" x14ac:dyDescent="0.4">
      <c r="B161" s="64" t="s">
        <v>711</v>
      </c>
      <c r="C161" s="7" t="s">
        <v>214</v>
      </c>
    </row>
    <row r="162" spans="2:3" x14ac:dyDescent="0.4">
      <c r="B162" s="64" t="s">
        <v>712</v>
      </c>
      <c r="C162" s="7"/>
    </row>
    <row r="163" spans="2:3" x14ac:dyDescent="0.4">
      <c r="B163" s="64" t="s">
        <v>578</v>
      </c>
      <c r="C163" s="7" t="s">
        <v>17</v>
      </c>
    </row>
    <row r="164" spans="2:3" x14ac:dyDescent="0.4">
      <c r="B164" s="64" t="s">
        <v>713</v>
      </c>
      <c r="C164" s="7" t="s">
        <v>18</v>
      </c>
    </row>
    <row r="165" spans="2:3" x14ac:dyDescent="0.4">
      <c r="B165" s="64" t="s">
        <v>585</v>
      </c>
      <c r="C165" s="7" t="s">
        <v>214</v>
      </c>
    </row>
    <row r="166" spans="2:3" x14ac:dyDescent="0.4">
      <c r="B166" s="64" t="s">
        <v>714</v>
      </c>
      <c r="C166" s="7"/>
    </row>
    <row r="167" spans="2:3" x14ac:dyDescent="0.4">
      <c r="B167" s="64" t="s">
        <v>715</v>
      </c>
      <c r="C167" s="7" t="s">
        <v>17</v>
      </c>
    </row>
    <row r="168" spans="2:3" x14ac:dyDescent="0.4">
      <c r="B168" s="64" t="s">
        <v>586</v>
      </c>
      <c r="C168" s="7" t="s">
        <v>18</v>
      </c>
    </row>
  </sheetData>
  <mergeCells count="1">
    <mergeCell ref="B1:G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7" r:id="rId3" name="Check Box 3">
              <controlPr defaultSize="0" autoFill="0" autoLine="0" autoPict="0" altText="">
                <anchor moveWithCells="1">
                  <from>
                    <xdr:col>4</xdr:col>
                    <xdr:colOff>2293620</xdr:colOff>
                    <xdr:row>0</xdr:row>
                    <xdr:rowOff>60960</xdr:rowOff>
                  </from>
                  <to>
                    <xdr:col>4</xdr:col>
                    <xdr:colOff>2590800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D33B-0BDB-4B39-8F8E-994FD6767815}">
  <sheetPr>
    <tabColor theme="1"/>
  </sheetPr>
  <dimension ref="B1:F9"/>
  <sheetViews>
    <sheetView zoomScale="175" zoomScaleNormal="175" workbookViewId="0">
      <selection activeCell="F5" sqref="F5"/>
    </sheetView>
  </sheetViews>
  <sheetFormatPr defaultRowHeight="16.8" x14ac:dyDescent="0.4"/>
  <cols>
    <col min="1" max="1" width="2.69921875" customWidth="1"/>
    <col min="2" max="2" width="10.8984375" customWidth="1"/>
    <col min="3" max="3" width="15.09765625" customWidth="1"/>
    <col min="4" max="4" width="8.09765625" customWidth="1"/>
    <col min="5" max="5" width="3.8984375" customWidth="1"/>
    <col min="6" max="6" width="17.09765625" customWidth="1"/>
  </cols>
  <sheetData>
    <row r="1" spans="2:6" ht="22.5" customHeight="1" x14ac:dyDescent="0.4">
      <c r="B1" s="85" t="s">
        <v>815</v>
      </c>
      <c r="C1" s="85"/>
      <c r="D1" s="85"/>
      <c r="E1" s="85"/>
      <c r="F1" s="85"/>
    </row>
    <row r="2" spans="2:6" x14ac:dyDescent="0.4">
      <c r="B2" s="5" t="s">
        <v>4</v>
      </c>
      <c r="C2" s="22" t="s">
        <v>30</v>
      </c>
      <c r="D2" s="22" t="s">
        <v>22</v>
      </c>
      <c r="F2" s="24" t="s">
        <v>33</v>
      </c>
    </row>
    <row r="3" spans="2:6" x14ac:dyDescent="0.4">
      <c r="B3" s="7" t="s">
        <v>14</v>
      </c>
      <c r="C3" s="23" t="s">
        <v>31</v>
      </c>
      <c r="D3" s="23">
        <v>10</v>
      </c>
      <c r="F3" s="71"/>
    </row>
    <row r="4" spans="2:6" x14ac:dyDescent="0.4">
      <c r="B4" s="7" t="s">
        <v>15</v>
      </c>
      <c r="C4" s="23" t="s">
        <v>32</v>
      </c>
      <c r="D4" s="23">
        <v>9</v>
      </c>
      <c r="F4" s="24" t="s">
        <v>34</v>
      </c>
    </row>
    <row r="5" spans="2:6" x14ac:dyDescent="0.4">
      <c r="B5" s="7" t="s">
        <v>16</v>
      </c>
      <c r="C5" s="23" t="s">
        <v>32</v>
      </c>
      <c r="D5" s="23">
        <v>8</v>
      </c>
      <c r="F5" s="71"/>
    </row>
    <row r="6" spans="2:6" x14ac:dyDescent="0.4">
      <c r="B6" s="7" t="s">
        <v>29</v>
      </c>
      <c r="C6" s="23" t="s">
        <v>31</v>
      </c>
      <c r="D6" s="23">
        <v>7</v>
      </c>
    </row>
    <row r="7" spans="2:6" x14ac:dyDescent="0.4">
      <c r="B7" s="7" t="s">
        <v>19</v>
      </c>
      <c r="C7" s="23" t="s">
        <v>32</v>
      </c>
      <c r="D7" s="23">
        <v>6</v>
      </c>
    </row>
    <row r="8" spans="2:6" x14ac:dyDescent="0.4">
      <c r="B8" s="7" t="s">
        <v>84</v>
      </c>
      <c r="C8" s="23" t="s">
        <v>32</v>
      </c>
      <c r="D8" s="23">
        <v>8</v>
      </c>
    </row>
    <row r="9" spans="2:6" x14ac:dyDescent="0.4">
      <c r="B9" s="7" t="s">
        <v>85</v>
      </c>
      <c r="C9" s="23" t="s">
        <v>32</v>
      </c>
      <c r="D9" s="23">
        <v>8</v>
      </c>
    </row>
  </sheetData>
  <mergeCells count="1">
    <mergeCell ref="B1:F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" r:id="rId3" name="Check Box 2">
              <controlPr defaultSize="0" autoFill="0" autoLine="0" autoPict="0" altText="">
                <anchor moveWithCells="1">
                  <from>
                    <xdr:col>5</xdr:col>
                    <xdr:colOff>1303020</xdr:colOff>
                    <xdr:row>0</xdr:row>
                    <xdr:rowOff>45720</xdr:rowOff>
                  </from>
                  <to>
                    <xdr:col>6</xdr:col>
                    <xdr:colOff>137160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EA16-CB0A-42E5-ABCB-6FEC6C16443C}">
  <sheetPr>
    <tabColor theme="1"/>
  </sheetPr>
  <dimension ref="B1:F9"/>
  <sheetViews>
    <sheetView zoomScale="175" zoomScaleNormal="175" workbookViewId="0">
      <selection activeCell="F4" sqref="F4"/>
    </sheetView>
  </sheetViews>
  <sheetFormatPr defaultRowHeight="16.8" x14ac:dyDescent="0.4"/>
  <cols>
    <col min="1" max="1" width="2.69921875" customWidth="1"/>
    <col min="2" max="2" width="10.8984375" customWidth="1"/>
    <col min="3" max="3" width="15.09765625" customWidth="1"/>
    <col min="4" max="4" width="8.09765625" customWidth="1"/>
    <col min="5" max="5" width="3.8984375" customWidth="1"/>
    <col min="6" max="6" width="17.09765625" customWidth="1"/>
  </cols>
  <sheetData>
    <row r="1" spans="2:6" ht="22.5" customHeight="1" x14ac:dyDescent="0.4">
      <c r="B1" s="102" t="s">
        <v>94</v>
      </c>
      <c r="C1" s="80"/>
      <c r="D1" s="80"/>
      <c r="E1" s="80"/>
      <c r="F1" s="80"/>
    </row>
    <row r="2" spans="2:6" x14ac:dyDescent="0.4">
      <c r="B2" s="5" t="s">
        <v>4</v>
      </c>
      <c r="C2" s="22" t="s">
        <v>30</v>
      </c>
      <c r="D2" s="22" t="s">
        <v>22</v>
      </c>
      <c r="F2" s="103" t="s">
        <v>816</v>
      </c>
    </row>
    <row r="3" spans="2:6" x14ac:dyDescent="0.4">
      <c r="B3" s="7" t="s">
        <v>14</v>
      </c>
      <c r="C3" s="23" t="s">
        <v>31</v>
      </c>
      <c r="D3" s="23">
        <v>10</v>
      </c>
      <c r="F3" s="103"/>
    </row>
    <row r="4" spans="2:6" x14ac:dyDescent="0.4">
      <c r="B4" s="7" t="s">
        <v>15</v>
      </c>
      <c r="C4" s="23" t="s">
        <v>32</v>
      </c>
      <c r="D4" s="23">
        <v>9</v>
      </c>
      <c r="F4" s="8"/>
    </row>
    <row r="5" spans="2:6" x14ac:dyDescent="0.4">
      <c r="B5" s="7" t="s">
        <v>16</v>
      </c>
      <c r="C5" s="23" t="s">
        <v>32</v>
      </c>
      <c r="D5" s="23">
        <v>8</v>
      </c>
    </row>
    <row r="6" spans="2:6" x14ac:dyDescent="0.4">
      <c r="B6" s="7" t="s">
        <v>29</v>
      </c>
      <c r="C6" s="23" t="s">
        <v>31</v>
      </c>
      <c r="D6" s="23">
        <v>7</v>
      </c>
    </row>
    <row r="7" spans="2:6" x14ac:dyDescent="0.4">
      <c r="B7" s="7" t="s">
        <v>19</v>
      </c>
      <c r="C7" s="23" t="s">
        <v>32</v>
      </c>
      <c r="D7" s="23">
        <v>6</v>
      </c>
    </row>
    <row r="8" spans="2:6" x14ac:dyDescent="0.4">
      <c r="B8" s="7" t="s">
        <v>84</v>
      </c>
      <c r="C8" s="23" t="s">
        <v>32</v>
      </c>
      <c r="D8" s="23">
        <v>8</v>
      </c>
    </row>
    <row r="9" spans="2:6" x14ac:dyDescent="0.4">
      <c r="B9" s="7" t="s">
        <v>85</v>
      </c>
      <c r="C9" s="23" t="s">
        <v>32</v>
      </c>
      <c r="D9" s="23">
        <v>8</v>
      </c>
    </row>
  </sheetData>
  <mergeCells count="2">
    <mergeCell ref="B1:F1"/>
    <mergeCell ref="F2:F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30" r:id="rId3" name="Check Box 2">
              <controlPr defaultSize="0" autoFill="0" autoLine="0" autoPict="0" altText="">
                <anchor moveWithCells="1">
                  <from>
                    <xdr:col>5</xdr:col>
                    <xdr:colOff>1188720</xdr:colOff>
                    <xdr:row>0</xdr:row>
                    <xdr:rowOff>30480</xdr:rowOff>
                  </from>
                  <to>
                    <xdr:col>6</xdr:col>
                    <xdr:colOff>7620</xdr:colOff>
                    <xdr:row>0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2069-3FB6-410A-9EBC-B095CBC54FB1}">
  <sheetPr>
    <tabColor theme="1"/>
  </sheetPr>
  <dimension ref="B1:E3"/>
  <sheetViews>
    <sheetView zoomScale="295" zoomScaleNormal="295" workbookViewId="0">
      <selection activeCell="B3" sqref="B3:E3"/>
    </sheetView>
  </sheetViews>
  <sheetFormatPr defaultRowHeight="16.8" x14ac:dyDescent="0.4"/>
  <cols>
    <col min="1" max="1" width="1.09765625" customWidth="1"/>
  </cols>
  <sheetData>
    <row r="1" spans="2:5" ht="24" customHeight="1" thickBot="1" x14ac:dyDescent="0.45">
      <c r="B1" s="110" t="s">
        <v>87</v>
      </c>
      <c r="C1" s="110"/>
      <c r="D1" s="110"/>
      <c r="E1" s="110"/>
    </row>
    <row r="2" spans="2:5" ht="17.399999999999999" thickBot="1" x14ac:dyDescent="0.45">
      <c r="B2" s="104" t="s">
        <v>86</v>
      </c>
      <c r="C2" s="105"/>
      <c r="D2" s="105"/>
      <c r="E2" s="106"/>
    </row>
    <row r="3" spans="2:5" ht="17.399999999999999" thickBot="1" x14ac:dyDescent="0.45">
      <c r="B3" s="107"/>
      <c r="C3" s="108"/>
      <c r="D3" s="108"/>
      <c r="E3" s="109"/>
    </row>
  </sheetData>
  <mergeCells count="3">
    <mergeCell ref="B2:E2"/>
    <mergeCell ref="B3:E3"/>
    <mergeCell ref="B1:E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3" name="Check Box 2">
              <controlPr defaultSize="0" autoFill="0" autoLine="0" autoPict="0" altText="">
                <anchor moveWithCells="1">
                  <from>
                    <xdr:col>3</xdr:col>
                    <xdr:colOff>716280</xdr:colOff>
                    <xdr:row>0</xdr:row>
                    <xdr:rowOff>106680</xdr:rowOff>
                  </from>
                  <to>
                    <xdr:col>4</xdr:col>
                    <xdr:colOff>137160</xdr:colOff>
                    <xdr:row>0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44BE-859E-4B3A-A883-9FAE2670330C}">
  <sheetPr>
    <tabColor theme="1"/>
  </sheetPr>
  <dimension ref="B1:E3"/>
  <sheetViews>
    <sheetView zoomScale="295" zoomScaleNormal="295" workbookViewId="0">
      <selection activeCell="B3" sqref="B3:E3"/>
    </sheetView>
  </sheetViews>
  <sheetFormatPr defaultRowHeight="16.8" x14ac:dyDescent="0.4"/>
  <cols>
    <col min="1" max="1" width="1.09765625" customWidth="1"/>
  </cols>
  <sheetData>
    <row r="1" spans="2:5" ht="24" customHeight="1" thickBot="1" x14ac:dyDescent="0.45">
      <c r="B1" s="110" t="s">
        <v>64</v>
      </c>
      <c r="C1" s="110"/>
      <c r="D1" s="110"/>
      <c r="E1" s="110"/>
    </row>
    <row r="2" spans="2:5" ht="17.399999999999999" thickBot="1" x14ac:dyDescent="0.45">
      <c r="B2" s="104" t="s">
        <v>86</v>
      </c>
      <c r="C2" s="105"/>
      <c r="D2" s="105"/>
      <c r="E2" s="106"/>
    </row>
    <row r="3" spans="2:5" ht="17.399999999999999" thickBot="1" x14ac:dyDescent="0.45">
      <c r="B3" s="107"/>
      <c r="C3" s="108"/>
      <c r="D3" s="108"/>
      <c r="E3" s="109"/>
    </row>
  </sheetData>
  <mergeCells count="3">
    <mergeCell ref="B3:E3"/>
    <mergeCell ref="B1:E1"/>
    <mergeCell ref="B2:E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3" name="Check Box 2">
              <controlPr defaultSize="0" autoFill="0" autoLine="0" autoPict="0" altText="">
                <anchor moveWithCells="1">
                  <from>
                    <xdr:col>4</xdr:col>
                    <xdr:colOff>487680</xdr:colOff>
                    <xdr:row>0</xdr:row>
                    <xdr:rowOff>45720</xdr:rowOff>
                  </from>
                  <to>
                    <xdr:col>5</xdr:col>
                    <xdr:colOff>7620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CF6B-5F17-4BDD-9DB8-7A778D898C82}">
  <sheetPr>
    <tabColor theme="1"/>
  </sheetPr>
  <dimension ref="B1:E3"/>
  <sheetViews>
    <sheetView zoomScale="295" zoomScaleNormal="295" workbookViewId="0">
      <selection activeCell="B3" sqref="B3:E3"/>
    </sheetView>
  </sheetViews>
  <sheetFormatPr defaultRowHeight="16.8" x14ac:dyDescent="0.4"/>
  <cols>
    <col min="1" max="1" width="1.09765625" customWidth="1"/>
  </cols>
  <sheetData>
    <row r="1" spans="2:5" ht="24" customHeight="1" thickBot="1" x14ac:dyDescent="0.45">
      <c r="B1" s="110" t="s">
        <v>65</v>
      </c>
      <c r="C1" s="110"/>
      <c r="D1" s="110"/>
      <c r="E1" s="110"/>
    </row>
    <row r="2" spans="2:5" ht="17.399999999999999" thickBot="1" x14ac:dyDescent="0.45">
      <c r="B2" s="104" t="s">
        <v>86</v>
      </c>
      <c r="C2" s="105"/>
      <c r="D2" s="105"/>
      <c r="E2" s="106"/>
    </row>
    <row r="3" spans="2:5" ht="17.399999999999999" thickBot="1" x14ac:dyDescent="0.45">
      <c r="B3" s="107"/>
      <c r="C3" s="108"/>
      <c r="D3" s="108"/>
      <c r="E3" s="109"/>
    </row>
  </sheetData>
  <mergeCells count="3">
    <mergeCell ref="B3:E3"/>
    <mergeCell ref="B1:E1"/>
    <mergeCell ref="B2:E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5" r:id="rId3" name="Check Box 3">
              <controlPr defaultSize="0" autoFill="0" autoLine="0" autoPict="0" altText="">
                <anchor moveWithCells="1">
                  <from>
                    <xdr:col>4</xdr:col>
                    <xdr:colOff>457200</xdr:colOff>
                    <xdr:row>0</xdr:row>
                    <xdr:rowOff>38100</xdr:rowOff>
                  </from>
                  <to>
                    <xdr:col>4</xdr:col>
                    <xdr:colOff>746760</xdr:colOff>
                    <xdr:row>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22C9-1546-4F7D-B3F1-E32F8DF06AFA}">
  <sheetPr>
    <tabColor theme="0"/>
  </sheetPr>
  <dimension ref="B1:E13"/>
  <sheetViews>
    <sheetView zoomScale="130" zoomScaleNormal="130" workbookViewId="0">
      <selection activeCell="C3" sqref="C3:E13"/>
    </sheetView>
  </sheetViews>
  <sheetFormatPr defaultRowHeight="16.8" x14ac:dyDescent="0.4"/>
  <cols>
    <col min="1" max="1" width="3.8984375" customWidth="1"/>
    <col min="2" max="2" width="23.796875" customWidth="1"/>
    <col min="3" max="5" width="24.19921875" customWidth="1"/>
    <col min="6" max="6" width="8.796875" customWidth="1"/>
  </cols>
  <sheetData>
    <row r="1" spans="2:5" ht="21" customHeight="1" x14ac:dyDescent="0.4">
      <c r="B1" s="85" t="s">
        <v>719</v>
      </c>
      <c r="C1" s="85"/>
      <c r="D1" s="85"/>
      <c r="E1" s="85"/>
    </row>
    <row r="2" spans="2:5" x14ac:dyDescent="0.4">
      <c r="B2" s="9" t="s">
        <v>164</v>
      </c>
      <c r="C2" s="15" t="s">
        <v>165</v>
      </c>
      <c r="D2" s="15" t="s">
        <v>166</v>
      </c>
      <c r="E2" s="15" t="s">
        <v>167</v>
      </c>
    </row>
    <row r="3" spans="2:5" x14ac:dyDescent="0.4">
      <c r="B3" s="7" t="s">
        <v>168</v>
      </c>
      <c r="C3" s="11"/>
      <c r="D3" s="11"/>
      <c r="E3" s="11"/>
    </row>
    <row r="4" spans="2:5" x14ac:dyDescent="0.4">
      <c r="B4" s="7" t="s">
        <v>169</v>
      </c>
      <c r="C4" s="11"/>
      <c r="D4" s="11"/>
      <c r="E4" s="11"/>
    </row>
    <row r="5" spans="2:5" x14ac:dyDescent="0.4">
      <c r="B5" s="7" t="s">
        <v>170</v>
      </c>
      <c r="C5" s="11"/>
      <c r="D5" s="11"/>
      <c r="E5" s="11"/>
    </row>
    <row r="6" spans="2:5" x14ac:dyDescent="0.4">
      <c r="B6" s="7" t="s">
        <v>171</v>
      </c>
      <c r="C6" s="11"/>
      <c r="D6" s="11"/>
      <c r="E6" s="11"/>
    </row>
    <row r="7" spans="2:5" x14ac:dyDescent="0.4">
      <c r="B7" s="7" t="s">
        <v>172</v>
      </c>
      <c r="C7" s="11"/>
      <c r="D7" s="11"/>
      <c r="E7" s="11"/>
    </row>
    <row r="8" spans="2:5" x14ac:dyDescent="0.4">
      <c r="B8" s="7" t="s">
        <v>173</v>
      </c>
      <c r="C8" s="11"/>
      <c r="D8" s="11"/>
      <c r="E8" s="11"/>
    </row>
    <row r="9" spans="2:5" x14ac:dyDescent="0.4">
      <c r="B9" s="7" t="s">
        <v>174</v>
      </c>
      <c r="C9" s="11"/>
      <c r="D9" s="11"/>
      <c r="E9" s="11"/>
    </row>
    <row r="10" spans="2:5" x14ac:dyDescent="0.4">
      <c r="B10" s="7" t="s">
        <v>175</v>
      </c>
      <c r="C10" s="11"/>
      <c r="D10" s="11"/>
      <c r="E10" s="11"/>
    </row>
    <row r="11" spans="2:5" x14ac:dyDescent="0.4">
      <c r="B11" s="7" t="s">
        <v>176</v>
      </c>
      <c r="C11" s="11"/>
      <c r="D11" s="11"/>
      <c r="E11" s="11"/>
    </row>
    <row r="12" spans="2:5" x14ac:dyDescent="0.4">
      <c r="B12" s="7" t="s">
        <v>177</v>
      </c>
      <c r="C12" s="11"/>
      <c r="D12" s="11"/>
      <c r="E12" s="11"/>
    </row>
    <row r="13" spans="2:5" x14ac:dyDescent="0.4">
      <c r="B13" s="7" t="s">
        <v>178</v>
      </c>
      <c r="C13" s="11"/>
      <c r="D13" s="11"/>
      <c r="E13" s="11"/>
    </row>
  </sheetData>
  <mergeCells count="1">
    <mergeCell ref="B1:E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3" r:id="rId3" name="Check Box 1">
              <controlPr defaultSize="0" autoFill="0" autoLine="0" autoPict="0" altText="">
                <anchor moveWithCells="1">
                  <from>
                    <xdr:col>3</xdr:col>
                    <xdr:colOff>952500</xdr:colOff>
                    <xdr:row>0</xdr:row>
                    <xdr:rowOff>0</xdr:rowOff>
                  </from>
                  <to>
                    <xdr:col>3</xdr:col>
                    <xdr:colOff>1242060</xdr:colOff>
                    <xdr:row>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AAE8-B609-4649-B541-71F3E072220C}">
  <sheetPr>
    <tabColor theme="1"/>
  </sheetPr>
  <dimension ref="B1:D3"/>
  <sheetViews>
    <sheetView zoomScale="310" zoomScaleNormal="310" workbookViewId="0">
      <selection activeCell="E1" sqref="E1"/>
    </sheetView>
  </sheetViews>
  <sheetFormatPr defaultRowHeight="16.8" x14ac:dyDescent="0.4"/>
  <cols>
    <col min="1" max="1" width="2.296875" customWidth="1"/>
    <col min="5" max="5" width="8.8984375" customWidth="1"/>
  </cols>
  <sheetData>
    <row r="1" spans="2:4" ht="17.399999999999999" thickBot="1" x14ac:dyDescent="0.45">
      <c r="B1" s="114" t="s">
        <v>720</v>
      </c>
      <c r="C1" s="114"/>
      <c r="D1" s="114"/>
    </row>
    <row r="2" spans="2:4" ht="17.399999999999999" thickBot="1" x14ac:dyDescent="0.45">
      <c r="B2" s="111" t="s">
        <v>179</v>
      </c>
      <c r="C2" s="112"/>
      <c r="D2" s="113"/>
    </row>
    <row r="3" spans="2:4" ht="17.399999999999999" thickBot="1" x14ac:dyDescent="0.45">
      <c r="B3" s="107"/>
      <c r="C3" s="108"/>
      <c r="D3" s="109"/>
    </row>
  </sheetData>
  <mergeCells count="3">
    <mergeCell ref="B2:D2"/>
    <mergeCell ref="B3:D3"/>
    <mergeCell ref="B1:D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3" name="Check Box 2">
              <controlPr defaultSize="0" autoFill="0" autoLine="0" autoPict="0" altText="">
                <anchor moveWithCells="1">
                  <from>
                    <xdr:col>3</xdr:col>
                    <xdr:colOff>525780</xdr:colOff>
                    <xdr:row>0</xdr:row>
                    <xdr:rowOff>7620</xdr:rowOff>
                  </from>
                  <to>
                    <xdr:col>4</xdr:col>
                    <xdr:colOff>45720</xdr:colOff>
                    <xdr:row>1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FD81-9E8F-4C4A-9274-BA39E409C22C}">
  <sheetPr>
    <tabColor theme="1"/>
  </sheetPr>
  <dimension ref="B1:D3"/>
  <sheetViews>
    <sheetView zoomScale="310" zoomScaleNormal="310" workbookViewId="0">
      <selection activeCell="B3" sqref="B3:D3"/>
    </sheetView>
  </sheetViews>
  <sheetFormatPr defaultRowHeight="16.8" x14ac:dyDescent="0.4"/>
  <cols>
    <col min="1" max="1" width="2.296875" customWidth="1"/>
  </cols>
  <sheetData>
    <row r="1" spans="2:4" ht="17.399999999999999" thickBot="1" x14ac:dyDescent="0.45">
      <c r="B1" s="114" t="s">
        <v>88</v>
      </c>
      <c r="C1" s="114"/>
      <c r="D1" s="114"/>
    </row>
    <row r="2" spans="2:4" ht="17.399999999999999" thickBot="1" x14ac:dyDescent="0.45">
      <c r="B2" s="111" t="s">
        <v>180</v>
      </c>
      <c r="C2" s="112"/>
      <c r="D2" s="113"/>
    </row>
    <row r="3" spans="2:4" ht="17.399999999999999" thickBot="1" x14ac:dyDescent="0.45">
      <c r="B3" s="107"/>
      <c r="C3" s="108"/>
      <c r="D3" s="109"/>
    </row>
  </sheetData>
  <mergeCells count="3">
    <mergeCell ref="B3:D3"/>
    <mergeCell ref="B1:D1"/>
    <mergeCell ref="B2:D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5" r:id="rId3" name="Check Box 5">
              <controlPr defaultSize="0" autoFill="0" autoLine="0" autoPict="0" altText="">
                <anchor moveWithCells="1">
                  <from>
                    <xdr:col>3</xdr:col>
                    <xdr:colOff>601980</xdr:colOff>
                    <xdr:row>0</xdr:row>
                    <xdr:rowOff>0</xdr:rowOff>
                  </from>
                  <to>
                    <xdr:col>4</xdr:col>
                    <xdr:colOff>121920</xdr:colOff>
                    <xdr:row>1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41BA-1ED2-49A6-9277-52B764C44882}">
  <sheetPr>
    <tabColor theme="1"/>
  </sheetPr>
  <dimension ref="B1:D3"/>
  <sheetViews>
    <sheetView zoomScale="295" zoomScaleNormal="295" workbookViewId="0">
      <selection activeCell="B3" sqref="B3:D3"/>
    </sheetView>
  </sheetViews>
  <sheetFormatPr defaultRowHeight="16.8" x14ac:dyDescent="0.4"/>
  <cols>
    <col min="1" max="1" width="2.296875" customWidth="1"/>
  </cols>
  <sheetData>
    <row r="1" spans="2:4" ht="17.399999999999999" thickBot="1" x14ac:dyDescent="0.45">
      <c r="B1" s="114" t="s">
        <v>89</v>
      </c>
      <c r="C1" s="114"/>
      <c r="D1" s="114"/>
    </row>
    <row r="2" spans="2:4" ht="17.399999999999999" thickBot="1" x14ac:dyDescent="0.45">
      <c r="B2" s="111" t="s">
        <v>181</v>
      </c>
      <c r="C2" s="112"/>
      <c r="D2" s="113"/>
    </row>
    <row r="3" spans="2:4" ht="17.399999999999999" thickBot="1" x14ac:dyDescent="0.45">
      <c r="B3" s="107"/>
      <c r="C3" s="108"/>
      <c r="D3" s="109"/>
    </row>
  </sheetData>
  <mergeCells count="3">
    <mergeCell ref="B3:D3"/>
    <mergeCell ref="B1:D1"/>
    <mergeCell ref="B2:D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6" r:id="rId3" name="Check Box 2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4" name="Check Box 5">
              <controlPr defaultSize="0" autoFill="0" autoLine="0" autoPict="0" altText="">
                <anchor moveWithCells="1">
                  <from>
                    <xdr:col>3</xdr:col>
                    <xdr:colOff>617220</xdr:colOff>
                    <xdr:row>0</xdr:row>
                    <xdr:rowOff>0</xdr:rowOff>
                  </from>
                  <to>
                    <xdr:col>4</xdr:col>
                    <xdr:colOff>144780</xdr:colOff>
                    <xdr:row>1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B65C-C0DC-46FE-8BB2-C1E20D7BB9B6}">
  <sheetPr>
    <tabColor theme="1"/>
  </sheetPr>
  <dimension ref="B1:E3"/>
  <sheetViews>
    <sheetView zoomScale="295" zoomScaleNormal="295" workbookViewId="0">
      <selection activeCell="B3" sqref="B3:E3"/>
    </sheetView>
  </sheetViews>
  <sheetFormatPr defaultRowHeight="16.8" x14ac:dyDescent="0.4"/>
  <cols>
    <col min="1" max="1" width="1.3984375" customWidth="1"/>
    <col min="5" max="5" width="10.19921875" customWidth="1"/>
  </cols>
  <sheetData>
    <row r="1" spans="2:5" ht="24.75" customHeight="1" thickBot="1" x14ac:dyDescent="0.45">
      <c r="B1" s="80" t="s">
        <v>35</v>
      </c>
      <c r="C1" s="80"/>
      <c r="D1" s="80"/>
      <c r="E1" s="80"/>
    </row>
    <row r="2" spans="2:5" ht="17.399999999999999" thickBot="1" x14ac:dyDescent="0.45">
      <c r="B2" s="115" t="s">
        <v>817</v>
      </c>
      <c r="C2" s="116"/>
      <c r="D2" s="116"/>
      <c r="E2" s="117"/>
    </row>
    <row r="3" spans="2:5" ht="17.399999999999999" thickBot="1" x14ac:dyDescent="0.45">
      <c r="B3" s="118"/>
      <c r="C3" s="119"/>
      <c r="D3" s="119"/>
      <c r="E3" s="120"/>
    </row>
  </sheetData>
  <mergeCells count="3">
    <mergeCell ref="B1:E1"/>
    <mergeCell ref="B2:E2"/>
    <mergeCell ref="B3:E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12" r:id="rId3" name="Check Box 4">
              <controlPr defaultSize="0" autoFill="0" autoLine="0" autoPict="0" altText="">
                <anchor moveWithCells="1">
                  <from>
                    <xdr:col>4</xdr:col>
                    <xdr:colOff>632460</xdr:colOff>
                    <xdr:row>0</xdr:row>
                    <xdr:rowOff>38100</xdr:rowOff>
                  </from>
                  <to>
                    <xdr:col>5</xdr:col>
                    <xdr:colOff>38100</xdr:colOff>
                    <xdr:row>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FDE4-C62C-47CA-8B01-FDB0B0E1D713}">
  <sheetPr>
    <tabColor theme="1"/>
  </sheetPr>
  <dimension ref="B1:G17"/>
  <sheetViews>
    <sheetView workbookViewId="0">
      <selection activeCell="D3" sqref="D3:G17"/>
    </sheetView>
  </sheetViews>
  <sheetFormatPr defaultRowHeight="16.8" x14ac:dyDescent="0.4"/>
  <cols>
    <col min="2" max="3" width="13.796875" customWidth="1"/>
    <col min="4" max="6" width="13.3984375" customWidth="1"/>
    <col min="7" max="7" width="18.59765625" bestFit="1" customWidth="1"/>
  </cols>
  <sheetData>
    <row r="1" spans="2:7" ht="29.25" customHeight="1" x14ac:dyDescent="0.4">
      <c r="C1" s="85" t="s">
        <v>721</v>
      </c>
      <c r="D1" s="85"/>
      <c r="E1" s="85"/>
      <c r="F1" s="85"/>
    </row>
    <row r="2" spans="2:7" x14ac:dyDescent="0.4">
      <c r="B2" s="5" t="s">
        <v>138</v>
      </c>
      <c r="C2" s="5" t="s">
        <v>724</v>
      </c>
      <c r="D2" s="6" t="s">
        <v>722</v>
      </c>
      <c r="E2" s="6" t="s">
        <v>727</v>
      </c>
      <c r="F2" s="6" t="s">
        <v>723</v>
      </c>
      <c r="G2" s="6" t="s">
        <v>725</v>
      </c>
    </row>
    <row r="3" spans="2:7" x14ac:dyDescent="0.4">
      <c r="B3" s="7" t="s">
        <v>728</v>
      </c>
      <c r="C3" s="12" t="s">
        <v>726</v>
      </c>
      <c r="D3" s="7"/>
      <c r="E3" s="8"/>
      <c r="F3" s="8"/>
      <c r="G3" s="8"/>
    </row>
    <row r="4" spans="2:7" x14ac:dyDescent="0.4">
      <c r="B4" s="7" t="s">
        <v>729</v>
      </c>
      <c r="C4" s="12">
        <v>12001653</v>
      </c>
      <c r="D4" s="7"/>
      <c r="E4" s="8"/>
      <c r="F4" s="8"/>
      <c r="G4" s="8"/>
    </row>
    <row r="5" spans="2:7" x14ac:dyDescent="0.4">
      <c r="B5" s="7" t="s">
        <v>730</v>
      </c>
      <c r="C5" s="12">
        <v>12000569</v>
      </c>
      <c r="D5" s="7"/>
      <c r="E5" s="8"/>
      <c r="F5" s="8"/>
      <c r="G5" s="8"/>
    </row>
    <row r="6" spans="2:7" x14ac:dyDescent="0.4">
      <c r="B6" s="7" t="s">
        <v>731</v>
      </c>
      <c r="C6" s="12">
        <v>12000992</v>
      </c>
      <c r="D6" s="7"/>
      <c r="E6" s="8"/>
      <c r="F6" s="8"/>
      <c r="G6" s="8"/>
    </row>
    <row r="7" spans="2:7" x14ac:dyDescent="0.4">
      <c r="B7" s="7" t="s">
        <v>732</v>
      </c>
      <c r="C7" s="12">
        <v>12000442</v>
      </c>
      <c r="D7" s="7"/>
      <c r="E7" s="8"/>
      <c r="F7" s="8"/>
      <c r="G7" s="8"/>
    </row>
    <row r="8" spans="2:7" x14ac:dyDescent="0.4">
      <c r="B8" s="7" t="s">
        <v>733</v>
      </c>
      <c r="C8" s="12">
        <v>12000823</v>
      </c>
      <c r="D8" s="7"/>
      <c r="E8" s="8"/>
      <c r="F8" s="8"/>
      <c r="G8" s="8"/>
    </row>
    <row r="9" spans="2:7" x14ac:dyDescent="0.4">
      <c r="B9" s="7" t="s">
        <v>734</v>
      </c>
      <c r="C9" s="12">
        <v>12000329</v>
      </c>
      <c r="D9" s="7"/>
      <c r="E9" s="8"/>
      <c r="F9" s="8"/>
      <c r="G9" s="8"/>
    </row>
    <row r="10" spans="2:7" x14ac:dyDescent="0.4">
      <c r="B10" s="7" t="s">
        <v>735</v>
      </c>
      <c r="C10" s="12">
        <v>12002184</v>
      </c>
      <c r="D10" s="7"/>
      <c r="E10" s="8"/>
      <c r="F10" s="8"/>
      <c r="G10" s="8"/>
    </row>
    <row r="11" spans="2:7" x14ac:dyDescent="0.4">
      <c r="B11" s="7" t="s">
        <v>736</v>
      </c>
      <c r="C11" s="12">
        <v>12001885</v>
      </c>
      <c r="D11" s="7"/>
      <c r="E11" s="8"/>
      <c r="F11" s="8"/>
      <c r="G11" s="8"/>
    </row>
    <row r="12" spans="2:7" x14ac:dyDescent="0.4">
      <c r="B12" s="7" t="s">
        <v>737</v>
      </c>
      <c r="C12" s="12">
        <v>12001500</v>
      </c>
      <c r="D12" s="7"/>
      <c r="E12" s="8"/>
      <c r="F12" s="8"/>
      <c r="G12" s="8"/>
    </row>
    <row r="13" spans="2:7" x14ac:dyDescent="0.4">
      <c r="B13" s="7" t="s">
        <v>19</v>
      </c>
      <c r="C13" s="12">
        <v>12000542</v>
      </c>
      <c r="D13" s="7"/>
      <c r="E13" s="8"/>
      <c r="F13" s="8"/>
      <c r="G13" s="8"/>
    </row>
    <row r="14" spans="2:7" x14ac:dyDescent="0.4">
      <c r="B14" s="7" t="s">
        <v>738</v>
      </c>
      <c r="C14" s="12">
        <v>12000279</v>
      </c>
      <c r="D14" s="7"/>
      <c r="E14" s="8"/>
      <c r="F14" s="8"/>
      <c r="G14" s="8"/>
    </row>
    <row r="15" spans="2:7" x14ac:dyDescent="0.4">
      <c r="B15" s="7" t="s">
        <v>739</v>
      </c>
      <c r="C15" s="12">
        <v>12001291</v>
      </c>
      <c r="D15" s="7"/>
      <c r="E15" s="8"/>
      <c r="F15" s="8"/>
      <c r="G15" s="8"/>
    </row>
    <row r="16" spans="2:7" x14ac:dyDescent="0.4">
      <c r="B16" s="7" t="s">
        <v>740</v>
      </c>
      <c r="C16" s="12">
        <v>12001189</v>
      </c>
      <c r="D16" s="7"/>
      <c r="E16" s="8"/>
      <c r="F16" s="8"/>
      <c r="G16" s="8"/>
    </row>
    <row r="17" spans="2:7" x14ac:dyDescent="0.4">
      <c r="B17" s="7" t="s">
        <v>741</v>
      </c>
      <c r="C17" s="12">
        <v>12000804</v>
      </c>
      <c r="D17" s="7"/>
      <c r="E17" s="8"/>
      <c r="F17" s="8"/>
      <c r="G17" s="8"/>
    </row>
  </sheetData>
  <mergeCells count="1">
    <mergeCell ref="C1:F1"/>
  </mergeCells>
  <pageMargins left="0.7" right="0.7" top="0.75" bottom="0.75" header="0.3" footer="0.3"/>
  <ignoredErrors>
    <ignoredError sqref="C3" numberStoredAsText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5953" r:id="rId3" name="Check Box 1">
              <controlPr defaultSize="0" autoFill="0" autoLine="0" autoPict="0" altText="">
                <anchor moveWithCells="1">
                  <from>
                    <xdr:col>5</xdr:col>
                    <xdr:colOff>83820</xdr:colOff>
                    <xdr:row>0</xdr:row>
                    <xdr:rowOff>83820</xdr:rowOff>
                  </from>
                  <to>
                    <xdr:col>5</xdr:col>
                    <xdr:colOff>373380</xdr:colOff>
                    <xdr:row>0</xdr:row>
                    <xdr:rowOff>312420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D834-9808-48B9-B5AD-B2ED86381228}">
  <sheetPr>
    <tabColor theme="1"/>
  </sheetPr>
  <dimension ref="B1:F15"/>
  <sheetViews>
    <sheetView zoomScale="115" zoomScaleNormal="115" workbookViewId="0">
      <selection activeCell="D3" sqref="D3:D15"/>
    </sheetView>
  </sheetViews>
  <sheetFormatPr defaultColWidth="8.8984375" defaultRowHeight="16.8" x14ac:dyDescent="0.4"/>
  <cols>
    <col min="1" max="1" width="8.8984375" style="16"/>
    <col min="2" max="3" width="16.296875" style="16" customWidth="1"/>
    <col min="4" max="4" width="19.59765625" style="16" customWidth="1"/>
    <col min="5" max="5" width="8.8984375" style="16"/>
    <col min="6" max="6" width="27.796875" style="16" bestFit="1" customWidth="1"/>
    <col min="7" max="16384" width="8.8984375" style="16"/>
  </cols>
  <sheetData>
    <row r="1" spans="2:6" ht="20.25" customHeight="1" x14ac:dyDescent="0.4">
      <c r="B1" s="121" t="s">
        <v>557</v>
      </c>
      <c r="C1" s="121"/>
      <c r="D1" s="121"/>
      <c r="E1" s="34"/>
      <c r="F1" s="34"/>
    </row>
    <row r="2" spans="2:6" x14ac:dyDescent="0.4">
      <c r="B2" s="5" t="s">
        <v>742</v>
      </c>
      <c r="C2" s="5" t="s">
        <v>743</v>
      </c>
      <c r="D2" s="15" t="s">
        <v>744</v>
      </c>
    </row>
    <row r="3" spans="2:6" x14ac:dyDescent="0.4">
      <c r="B3" s="19" t="s">
        <v>14</v>
      </c>
      <c r="C3" s="19" t="s">
        <v>745</v>
      </c>
      <c r="D3" s="65"/>
    </row>
    <row r="4" spans="2:6" x14ac:dyDescent="0.4">
      <c r="B4" s="19" t="s">
        <v>15</v>
      </c>
      <c r="C4" s="19" t="s">
        <v>746</v>
      </c>
      <c r="D4" s="65"/>
    </row>
    <row r="5" spans="2:6" x14ac:dyDescent="0.4">
      <c r="B5" s="19" t="s">
        <v>29</v>
      </c>
      <c r="C5" s="19" t="s">
        <v>747</v>
      </c>
      <c r="D5" s="65"/>
    </row>
    <row r="6" spans="2:6" x14ac:dyDescent="0.4">
      <c r="B6" s="19" t="s">
        <v>16</v>
      </c>
      <c r="C6" s="19" t="s">
        <v>748</v>
      </c>
      <c r="D6" s="65"/>
    </row>
    <row r="7" spans="2:6" x14ac:dyDescent="0.4">
      <c r="B7" s="19" t="s">
        <v>19</v>
      </c>
      <c r="C7" s="19" t="s">
        <v>749</v>
      </c>
      <c r="D7" s="65"/>
    </row>
    <row r="8" spans="2:6" x14ac:dyDescent="0.4">
      <c r="B8" s="19" t="s">
        <v>126</v>
      </c>
      <c r="C8" s="19" t="s">
        <v>750</v>
      </c>
      <c r="D8" s="65"/>
    </row>
    <row r="9" spans="2:6" x14ac:dyDescent="0.4">
      <c r="B9" s="19" t="s">
        <v>127</v>
      </c>
      <c r="C9" s="19" t="s">
        <v>751</v>
      </c>
      <c r="D9" s="65"/>
    </row>
    <row r="10" spans="2:6" x14ac:dyDescent="0.4">
      <c r="B10" s="19" t="s">
        <v>184</v>
      </c>
      <c r="C10" s="19" t="s">
        <v>752</v>
      </c>
      <c r="D10" s="65"/>
    </row>
    <row r="11" spans="2:6" x14ac:dyDescent="0.4">
      <c r="B11" s="19" t="s">
        <v>185</v>
      </c>
      <c r="C11" s="19" t="s">
        <v>753</v>
      </c>
      <c r="D11" s="65"/>
    </row>
    <row r="12" spans="2:6" x14ac:dyDescent="0.4">
      <c r="B12" s="19" t="s">
        <v>84</v>
      </c>
      <c r="C12" s="19" t="s">
        <v>754</v>
      </c>
      <c r="D12" s="65"/>
    </row>
    <row r="13" spans="2:6" x14ac:dyDescent="0.4">
      <c r="B13" s="19" t="s">
        <v>128</v>
      </c>
      <c r="C13" s="19" t="s">
        <v>755</v>
      </c>
      <c r="D13" s="65"/>
    </row>
    <row r="14" spans="2:6" x14ac:dyDescent="0.4">
      <c r="B14" s="19" t="s">
        <v>186</v>
      </c>
      <c r="C14" s="19" t="s">
        <v>756</v>
      </c>
      <c r="D14" s="65"/>
    </row>
    <row r="15" spans="2:6" x14ac:dyDescent="0.4">
      <c r="B15" s="19" t="s">
        <v>187</v>
      </c>
      <c r="C15" s="19" t="s">
        <v>757</v>
      </c>
      <c r="D15" s="65"/>
    </row>
  </sheetData>
  <mergeCells count="1">
    <mergeCell ref="B1:D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977" r:id="rId3" name="Check Box 1">
              <controlPr defaultSize="0" autoFill="0" autoLine="0" autoPict="0">
                <anchor moveWithCells="1">
                  <from>
                    <xdr:col>3</xdr:col>
                    <xdr:colOff>990600</xdr:colOff>
                    <xdr:row>0</xdr:row>
                    <xdr:rowOff>38100</xdr:rowOff>
                  </from>
                  <to>
                    <xdr:col>3</xdr:col>
                    <xdr:colOff>1173480</xdr:colOff>
                    <xdr:row>0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75E9-754A-43A3-9777-D856302E555D}">
  <sheetPr>
    <tabColor theme="1"/>
  </sheetPr>
  <dimension ref="B1:F15"/>
  <sheetViews>
    <sheetView zoomScale="115" zoomScaleNormal="115" workbookViewId="0">
      <selection activeCell="C3" sqref="C3:C15"/>
    </sheetView>
  </sheetViews>
  <sheetFormatPr defaultColWidth="8.8984375" defaultRowHeight="16.8" x14ac:dyDescent="0.4"/>
  <cols>
    <col min="1" max="1" width="8.8984375" style="16"/>
    <col min="2" max="2" width="25.796875" style="16" customWidth="1"/>
    <col min="3" max="3" width="23.3984375" style="16" customWidth="1"/>
    <col min="4" max="4" width="19.59765625" style="16" customWidth="1"/>
    <col min="5" max="5" width="8.8984375" style="16"/>
    <col min="6" max="6" width="27.796875" style="16" bestFit="1" customWidth="1"/>
    <col min="7" max="16384" width="8.8984375" style="16"/>
  </cols>
  <sheetData>
    <row r="1" spans="2:6" ht="20.25" customHeight="1" x14ac:dyDescent="0.4">
      <c r="B1" s="121" t="s">
        <v>758</v>
      </c>
      <c r="C1" s="121"/>
      <c r="D1" s="34"/>
      <c r="E1" s="34"/>
      <c r="F1" s="34"/>
    </row>
    <row r="2" spans="2:6" x14ac:dyDescent="0.4">
      <c r="B2" s="5" t="s">
        <v>744</v>
      </c>
      <c r="C2" s="15" t="s">
        <v>759</v>
      </c>
    </row>
    <row r="3" spans="2:6" x14ac:dyDescent="0.4">
      <c r="B3" s="65" t="s">
        <v>818</v>
      </c>
      <c r="C3" s="19"/>
    </row>
    <row r="4" spans="2:6" x14ac:dyDescent="0.4">
      <c r="B4" s="65" t="s">
        <v>760</v>
      </c>
      <c r="C4" s="19"/>
    </row>
    <row r="5" spans="2:6" x14ac:dyDescent="0.4">
      <c r="B5" s="65" t="s">
        <v>761</v>
      </c>
      <c r="C5" s="19"/>
    </row>
    <row r="6" spans="2:6" x14ac:dyDescent="0.4">
      <c r="B6" s="65" t="s">
        <v>762</v>
      </c>
      <c r="C6" s="19"/>
    </row>
    <row r="7" spans="2:6" x14ac:dyDescent="0.4">
      <c r="B7" s="65" t="s">
        <v>763</v>
      </c>
      <c r="C7" s="19"/>
    </row>
    <row r="8" spans="2:6" x14ac:dyDescent="0.4">
      <c r="B8" s="65" t="s">
        <v>764</v>
      </c>
      <c r="C8" s="19"/>
    </row>
    <row r="9" spans="2:6" x14ac:dyDescent="0.4">
      <c r="B9" s="65" t="s">
        <v>765</v>
      </c>
      <c r="C9" s="19"/>
    </row>
    <row r="10" spans="2:6" x14ac:dyDescent="0.4">
      <c r="B10" s="65" t="s">
        <v>766</v>
      </c>
      <c r="C10" s="19"/>
    </row>
    <row r="11" spans="2:6" x14ac:dyDescent="0.4">
      <c r="B11" s="65" t="s">
        <v>767</v>
      </c>
      <c r="C11" s="19"/>
    </row>
    <row r="12" spans="2:6" x14ac:dyDescent="0.4">
      <c r="B12" s="65" t="s">
        <v>768</v>
      </c>
      <c r="C12" s="19"/>
    </row>
    <row r="13" spans="2:6" x14ac:dyDescent="0.4">
      <c r="B13" s="65" t="s">
        <v>769</v>
      </c>
      <c r="C13" s="19"/>
    </row>
    <row r="14" spans="2:6" x14ac:dyDescent="0.4">
      <c r="B14" s="65" t="s">
        <v>770</v>
      </c>
      <c r="C14" s="19"/>
    </row>
    <row r="15" spans="2:6" x14ac:dyDescent="0.4">
      <c r="B15" s="65" t="s">
        <v>771</v>
      </c>
      <c r="C15" s="19"/>
    </row>
  </sheetData>
  <mergeCells count="1">
    <mergeCell ref="B1:C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9025" r:id="rId3" name="Check Box 1">
              <controlPr defaultSize="0" autoFill="0" autoLine="0" autoPict="0">
                <anchor moveWithCells="1">
                  <from>
                    <xdr:col>2</xdr:col>
                    <xdr:colOff>1280160</xdr:colOff>
                    <xdr:row>0</xdr:row>
                    <xdr:rowOff>0</xdr:rowOff>
                  </from>
                  <to>
                    <xdr:col>2</xdr:col>
                    <xdr:colOff>1531620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39BF-6CB0-4A79-90A2-3FEA2946C362}">
  <sheetPr>
    <tabColor theme="1"/>
  </sheetPr>
  <dimension ref="B1:H7"/>
  <sheetViews>
    <sheetView zoomScale="220" zoomScaleNormal="220" workbookViewId="0">
      <selection activeCell="H3" sqref="H3:I4"/>
    </sheetView>
  </sheetViews>
  <sheetFormatPr defaultRowHeight="16.8" x14ac:dyDescent="0.4"/>
  <cols>
    <col min="1" max="1" width="1.59765625" customWidth="1"/>
    <col min="2" max="2" width="3.296875" bestFit="1" customWidth="1"/>
    <col min="4" max="4" width="6.3984375" customWidth="1"/>
    <col min="5" max="5" width="9.796875" customWidth="1"/>
    <col min="6" max="6" width="3.09765625" customWidth="1"/>
    <col min="7" max="7" width="4.19921875" customWidth="1"/>
    <col min="8" max="8" width="14" customWidth="1"/>
  </cols>
  <sheetData>
    <row r="1" spans="2:8" ht="19.5" customHeight="1" x14ac:dyDescent="0.4">
      <c r="B1" s="89" t="s">
        <v>182</v>
      </c>
      <c r="C1" s="89"/>
      <c r="D1" s="89"/>
      <c r="E1" s="89"/>
      <c r="F1" s="89"/>
      <c r="G1" s="89"/>
      <c r="H1" s="89"/>
    </row>
    <row r="2" spans="2:8" x14ac:dyDescent="0.4">
      <c r="B2" s="5" t="s">
        <v>36</v>
      </c>
      <c r="C2" s="5" t="s">
        <v>4</v>
      </c>
      <c r="D2" s="5" t="s">
        <v>37</v>
      </c>
      <c r="E2" s="5" t="s">
        <v>38</v>
      </c>
      <c r="G2" s="5" t="s">
        <v>36</v>
      </c>
      <c r="H2" s="15" t="s">
        <v>4</v>
      </c>
    </row>
    <row r="3" spans="2:8" x14ac:dyDescent="0.4">
      <c r="B3" s="8">
        <v>1</v>
      </c>
      <c r="C3" s="7" t="s">
        <v>14</v>
      </c>
      <c r="D3" s="8">
        <v>20</v>
      </c>
      <c r="E3" s="8" t="s">
        <v>17</v>
      </c>
      <c r="G3" s="8">
        <v>7</v>
      </c>
      <c r="H3" s="11"/>
    </row>
    <row r="4" spans="2:8" x14ac:dyDescent="0.4">
      <c r="B4" s="8">
        <v>2</v>
      </c>
      <c r="C4" s="7" t="s">
        <v>15</v>
      </c>
      <c r="D4" s="8">
        <v>21</v>
      </c>
      <c r="E4" s="8" t="s">
        <v>18</v>
      </c>
    </row>
    <row r="5" spans="2:8" x14ac:dyDescent="0.4">
      <c r="B5" s="8">
        <v>3</v>
      </c>
      <c r="C5" s="7" t="s">
        <v>29</v>
      </c>
      <c r="D5" s="8">
        <v>19</v>
      </c>
      <c r="E5" s="8" t="s">
        <v>17</v>
      </c>
    </row>
    <row r="6" spans="2:8" x14ac:dyDescent="0.4">
      <c r="B6" s="8">
        <v>4</v>
      </c>
      <c r="C6" s="7" t="s">
        <v>16</v>
      </c>
      <c r="D6" s="8">
        <v>20</v>
      </c>
      <c r="E6" s="8" t="s">
        <v>18</v>
      </c>
    </row>
    <row r="7" spans="2:8" x14ac:dyDescent="0.4">
      <c r="B7" s="8">
        <v>5</v>
      </c>
      <c r="C7" s="7" t="s">
        <v>19</v>
      </c>
      <c r="D7" s="8">
        <v>22</v>
      </c>
      <c r="E7" s="8" t="s">
        <v>17</v>
      </c>
    </row>
  </sheetData>
  <mergeCells count="1">
    <mergeCell ref="B1:H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r:id="rId4" name="Check Box 1">
              <controlPr defaultSize="0" autoFill="0" autoLine="0" autoPict="0" altText="">
                <anchor moveWithCells="1">
                  <from>
                    <xdr:col>7</xdr:col>
                    <xdr:colOff>312420</xdr:colOff>
                    <xdr:row>0</xdr:row>
                    <xdr:rowOff>7620</xdr:rowOff>
                  </from>
                  <to>
                    <xdr:col>7</xdr:col>
                    <xdr:colOff>601980</xdr:colOff>
                    <xdr:row>0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C2EC-24DA-48C7-8E1A-1686301D5BDF}">
  <sheetPr>
    <tabColor theme="0"/>
  </sheetPr>
  <dimension ref="B1:J32"/>
  <sheetViews>
    <sheetView workbookViewId="0">
      <selection activeCell="I5" sqref="I5:J5"/>
    </sheetView>
  </sheetViews>
  <sheetFormatPr defaultRowHeight="16.8" x14ac:dyDescent="0.4"/>
  <cols>
    <col min="1" max="1" width="1.59765625" customWidth="1"/>
    <col min="2" max="2" width="5" style="4" customWidth="1"/>
    <col min="3" max="3" width="13.296875" customWidth="1"/>
    <col min="4" max="4" width="6.69921875" style="4" customWidth="1"/>
    <col min="5" max="5" width="15.3984375" customWidth="1"/>
    <col min="6" max="6" width="15.8984375" style="4" customWidth="1"/>
    <col min="7" max="7" width="3.69921875" customWidth="1"/>
    <col min="8" max="8" width="14.59765625" customWidth="1"/>
    <col min="9" max="9" width="6.3984375" customWidth="1"/>
    <col min="10" max="10" width="14.59765625" customWidth="1"/>
  </cols>
  <sheetData>
    <row r="1" spans="2:10" ht="24" customHeight="1" x14ac:dyDescent="0.4">
      <c r="B1" s="85" t="s">
        <v>796</v>
      </c>
      <c r="C1" s="85"/>
      <c r="D1" s="85"/>
      <c r="E1" s="85"/>
      <c r="F1" s="85"/>
      <c r="G1" s="85"/>
      <c r="H1" s="85"/>
      <c r="I1" s="85"/>
      <c r="J1" s="85"/>
    </row>
    <row r="2" spans="2:10" x14ac:dyDescent="0.4">
      <c r="B2" s="5" t="s">
        <v>36</v>
      </c>
      <c r="C2" s="5" t="s">
        <v>795</v>
      </c>
      <c r="D2" s="5" t="s">
        <v>220</v>
      </c>
      <c r="E2" s="5" t="s">
        <v>221</v>
      </c>
      <c r="F2" s="5" t="s">
        <v>222</v>
      </c>
    </row>
    <row r="3" spans="2:10" x14ac:dyDescent="0.4">
      <c r="B3" s="8">
        <v>1</v>
      </c>
      <c r="C3" s="7" t="s">
        <v>772</v>
      </c>
      <c r="D3" s="8">
        <v>33</v>
      </c>
      <c r="E3" s="7" t="s">
        <v>224</v>
      </c>
      <c r="F3" s="8" t="s">
        <v>225</v>
      </c>
    </row>
    <row r="4" spans="2:10" x14ac:dyDescent="0.4">
      <c r="B4" s="8">
        <v>2</v>
      </c>
      <c r="C4" s="7" t="s">
        <v>736</v>
      </c>
      <c r="D4" s="8">
        <v>28</v>
      </c>
      <c r="E4" s="7" t="s">
        <v>227</v>
      </c>
      <c r="F4" s="8" t="s">
        <v>228</v>
      </c>
      <c r="H4" s="5" t="s">
        <v>4</v>
      </c>
      <c r="I4" s="6" t="s">
        <v>37</v>
      </c>
      <c r="J4" s="6" t="s">
        <v>558</v>
      </c>
    </row>
    <row r="5" spans="2:10" x14ac:dyDescent="0.4">
      <c r="B5" s="8">
        <v>3</v>
      </c>
      <c r="C5" s="7" t="s">
        <v>784</v>
      </c>
      <c r="D5" s="8">
        <v>33</v>
      </c>
      <c r="E5" s="7" t="s">
        <v>224</v>
      </c>
      <c r="F5" s="8" t="s">
        <v>225</v>
      </c>
      <c r="H5" s="7" t="s">
        <v>737</v>
      </c>
      <c r="I5" s="11"/>
      <c r="J5" s="11"/>
    </row>
    <row r="6" spans="2:10" x14ac:dyDescent="0.4">
      <c r="B6" s="8">
        <v>4</v>
      </c>
      <c r="C6" s="7" t="s">
        <v>729</v>
      </c>
      <c r="D6" s="8">
        <v>27</v>
      </c>
      <c r="E6" s="7" t="s">
        <v>227</v>
      </c>
      <c r="F6" s="8" t="s">
        <v>230</v>
      </c>
    </row>
    <row r="7" spans="2:10" x14ac:dyDescent="0.4">
      <c r="B7" s="8">
        <v>5</v>
      </c>
      <c r="C7" s="7" t="s">
        <v>773</v>
      </c>
      <c r="D7" s="8">
        <v>35</v>
      </c>
      <c r="E7" s="7" t="s">
        <v>224</v>
      </c>
      <c r="F7" s="8" t="s">
        <v>231</v>
      </c>
    </row>
    <row r="8" spans="2:10" x14ac:dyDescent="0.4">
      <c r="B8" s="8">
        <v>6</v>
      </c>
      <c r="C8" s="7" t="s">
        <v>737</v>
      </c>
      <c r="D8" s="8">
        <v>26</v>
      </c>
      <c r="E8" s="7" t="s">
        <v>227</v>
      </c>
      <c r="F8" s="8" t="s">
        <v>225</v>
      </c>
    </row>
    <row r="9" spans="2:10" x14ac:dyDescent="0.4">
      <c r="B9" s="8">
        <v>7</v>
      </c>
      <c r="C9" s="7" t="s">
        <v>730</v>
      </c>
      <c r="D9" s="8">
        <v>34</v>
      </c>
      <c r="E9" s="7" t="s">
        <v>224</v>
      </c>
      <c r="F9" s="8" t="s">
        <v>232</v>
      </c>
    </row>
    <row r="10" spans="2:10" x14ac:dyDescent="0.4">
      <c r="B10" s="8">
        <v>8</v>
      </c>
      <c r="C10" s="7" t="s">
        <v>785</v>
      </c>
      <c r="D10" s="8">
        <v>31</v>
      </c>
      <c r="E10" s="7" t="s">
        <v>227</v>
      </c>
      <c r="F10" s="8" t="s">
        <v>230</v>
      </c>
    </row>
    <row r="11" spans="2:10" x14ac:dyDescent="0.4">
      <c r="B11" s="8">
        <v>9</v>
      </c>
      <c r="C11" s="7" t="s">
        <v>786</v>
      </c>
      <c r="D11" s="8">
        <v>25</v>
      </c>
      <c r="E11" s="7" t="s">
        <v>224</v>
      </c>
      <c r="F11" s="8" t="s">
        <v>234</v>
      </c>
    </row>
    <row r="12" spans="2:10" x14ac:dyDescent="0.4">
      <c r="B12" s="8">
        <v>10</v>
      </c>
      <c r="C12" s="7" t="s">
        <v>774</v>
      </c>
      <c r="D12" s="8">
        <v>31</v>
      </c>
      <c r="E12" s="7" t="s">
        <v>224</v>
      </c>
      <c r="F12" s="8" t="s">
        <v>225</v>
      </c>
    </row>
    <row r="13" spans="2:10" x14ac:dyDescent="0.4">
      <c r="B13" s="8">
        <v>11</v>
      </c>
      <c r="C13" s="7" t="s">
        <v>775</v>
      </c>
      <c r="D13" s="8">
        <v>26</v>
      </c>
      <c r="E13" s="7" t="s">
        <v>227</v>
      </c>
      <c r="F13" s="8" t="s">
        <v>225</v>
      </c>
    </row>
    <row r="14" spans="2:10" x14ac:dyDescent="0.4">
      <c r="B14" s="8">
        <v>12</v>
      </c>
      <c r="C14" s="7" t="s">
        <v>84</v>
      </c>
      <c r="D14" s="8">
        <v>27</v>
      </c>
      <c r="E14" s="7" t="s">
        <v>224</v>
      </c>
      <c r="F14" s="8" t="s">
        <v>235</v>
      </c>
    </row>
    <row r="15" spans="2:10" x14ac:dyDescent="0.4">
      <c r="B15" s="8">
        <v>13</v>
      </c>
      <c r="C15" s="7" t="s">
        <v>731</v>
      </c>
      <c r="D15" s="8">
        <v>24</v>
      </c>
      <c r="E15" s="7" t="s">
        <v>227</v>
      </c>
      <c r="F15" s="8" t="s">
        <v>236</v>
      </c>
    </row>
    <row r="16" spans="2:10" x14ac:dyDescent="0.4">
      <c r="B16" s="8">
        <v>14</v>
      </c>
      <c r="C16" s="7" t="s">
        <v>787</v>
      </c>
      <c r="D16" s="8">
        <v>28</v>
      </c>
      <c r="E16" s="7" t="s">
        <v>224</v>
      </c>
      <c r="F16" s="8" t="s">
        <v>225</v>
      </c>
    </row>
    <row r="17" spans="2:6" x14ac:dyDescent="0.4">
      <c r="B17" s="8">
        <v>15</v>
      </c>
      <c r="C17" s="7" t="s">
        <v>788</v>
      </c>
      <c r="D17" s="8">
        <v>32</v>
      </c>
      <c r="E17" s="7" t="s">
        <v>227</v>
      </c>
      <c r="F17" s="8" t="s">
        <v>237</v>
      </c>
    </row>
    <row r="18" spans="2:6" x14ac:dyDescent="0.4">
      <c r="B18" s="8">
        <v>16</v>
      </c>
      <c r="C18" s="7" t="s">
        <v>776</v>
      </c>
      <c r="D18" s="8">
        <v>42</v>
      </c>
      <c r="E18" s="7" t="s">
        <v>224</v>
      </c>
      <c r="F18" s="8" t="s">
        <v>235</v>
      </c>
    </row>
    <row r="19" spans="2:6" x14ac:dyDescent="0.4">
      <c r="B19" s="8">
        <v>17</v>
      </c>
      <c r="C19" s="7" t="s">
        <v>789</v>
      </c>
      <c r="D19" s="8">
        <v>31</v>
      </c>
      <c r="E19" s="7" t="s">
        <v>227</v>
      </c>
      <c r="F19" s="8" t="s">
        <v>234</v>
      </c>
    </row>
    <row r="20" spans="2:6" x14ac:dyDescent="0.4">
      <c r="B20" s="8">
        <v>18</v>
      </c>
      <c r="C20" s="7" t="s">
        <v>777</v>
      </c>
      <c r="D20" s="8">
        <v>31</v>
      </c>
      <c r="E20" s="7" t="s">
        <v>224</v>
      </c>
      <c r="F20" s="8" t="s">
        <v>238</v>
      </c>
    </row>
    <row r="21" spans="2:6" x14ac:dyDescent="0.4">
      <c r="B21" s="8">
        <v>19</v>
      </c>
      <c r="C21" s="7" t="s">
        <v>778</v>
      </c>
      <c r="D21" s="8">
        <v>30</v>
      </c>
      <c r="E21" s="7" t="s">
        <v>227</v>
      </c>
      <c r="F21" s="8" t="s">
        <v>225</v>
      </c>
    </row>
    <row r="22" spans="2:6" x14ac:dyDescent="0.4">
      <c r="B22" s="8">
        <v>20</v>
      </c>
      <c r="C22" s="7" t="s">
        <v>790</v>
      </c>
      <c r="D22" s="8">
        <v>27</v>
      </c>
      <c r="E22" s="7" t="s">
        <v>224</v>
      </c>
      <c r="F22" s="8" t="s">
        <v>239</v>
      </c>
    </row>
    <row r="23" spans="2:6" x14ac:dyDescent="0.4">
      <c r="B23" s="8">
        <v>21</v>
      </c>
      <c r="C23" s="7" t="s">
        <v>791</v>
      </c>
      <c r="D23" s="8">
        <v>30</v>
      </c>
      <c r="E23" s="7" t="s">
        <v>227</v>
      </c>
      <c r="F23" s="8" t="s">
        <v>240</v>
      </c>
    </row>
    <row r="24" spans="2:6" x14ac:dyDescent="0.4">
      <c r="B24" s="8">
        <v>22</v>
      </c>
      <c r="C24" s="7" t="s">
        <v>779</v>
      </c>
      <c r="D24" s="8">
        <v>33</v>
      </c>
      <c r="E24" s="7" t="s">
        <v>224</v>
      </c>
      <c r="F24" s="8" t="s">
        <v>225</v>
      </c>
    </row>
    <row r="25" spans="2:6" x14ac:dyDescent="0.4">
      <c r="B25" s="8">
        <v>23</v>
      </c>
      <c r="C25" s="7" t="s">
        <v>739</v>
      </c>
      <c r="D25" s="8">
        <v>27</v>
      </c>
      <c r="E25" s="7" t="s">
        <v>227</v>
      </c>
      <c r="F25" s="8" t="s">
        <v>241</v>
      </c>
    </row>
    <row r="26" spans="2:6" x14ac:dyDescent="0.4">
      <c r="B26" s="8">
        <v>24</v>
      </c>
      <c r="C26" s="7" t="s">
        <v>780</v>
      </c>
      <c r="D26" s="8">
        <v>34</v>
      </c>
      <c r="E26" s="7" t="s">
        <v>224</v>
      </c>
      <c r="F26" s="8" t="s">
        <v>225</v>
      </c>
    </row>
    <row r="27" spans="2:6" x14ac:dyDescent="0.4">
      <c r="B27" s="8">
        <v>25</v>
      </c>
      <c r="C27" s="7" t="s">
        <v>781</v>
      </c>
      <c r="D27" s="8">
        <v>28</v>
      </c>
      <c r="E27" s="7" t="s">
        <v>224</v>
      </c>
      <c r="F27" s="8" t="s">
        <v>225</v>
      </c>
    </row>
    <row r="28" spans="2:6" x14ac:dyDescent="0.4">
      <c r="B28" s="8">
        <v>26</v>
      </c>
      <c r="C28" s="7" t="s">
        <v>792</v>
      </c>
      <c r="D28" s="8">
        <v>34</v>
      </c>
      <c r="E28" s="7" t="s">
        <v>224</v>
      </c>
      <c r="F28" s="8" t="s">
        <v>242</v>
      </c>
    </row>
    <row r="29" spans="2:6" x14ac:dyDescent="0.4">
      <c r="B29" s="8">
        <v>27</v>
      </c>
      <c r="C29" s="7" t="s">
        <v>793</v>
      </c>
      <c r="D29" s="8">
        <v>26</v>
      </c>
      <c r="E29" s="7" t="s">
        <v>227</v>
      </c>
      <c r="F29" s="8" t="s">
        <v>237</v>
      </c>
    </row>
    <row r="30" spans="2:6" x14ac:dyDescent="0.4">
      <c r="B30" s="8">
        <v>28</v>
      </c>
      <c r="C30" s="7" t="s">
        <v>782</v>
      </c>
      <c r="D30" s="8">
        <v>35</v>
      </c>
      <c r="E30" s="7" t="s">
        <v>227</v>
      </c>
      <c r="F30" s="8" t="s">
        <v>225</v>
      </c>
    </row>
    <row r="31" spans="2:6" x14ac:dyDescent="0.4">
      <c r="B31" s="8">
        <v>29</v>
      </c>
      <c r="C31" s="7" t="s">
        <v>794</v>
      </c>
      <c r="D31" s="8">
        <v>28</v>
      </c>
      <c r="E31" s="7" t="s">
        <v>224</v>
      </c>
      <c r="F31" s="8" t="s">
        <v>225</v>
      </c>
    </row>
    <row r="32" spans="2:6" x14ac:dyDescent="0.4">
      <c r="B32" s="8">
        <v>30</v>
      </c>
      <c r="C32" s="7" t="s">
        <v>783</v>
      </c>
      <c r="D32" s="8">
        <v>41</v>
      </c>
      <c r="E32" s="7" t="s">
        <v>227</v>
      </c>
      <c r="F32" s="8" t="s">
        <v>225</v>
      </c>
    </row>
  </sheetData>
  <sortState xmlns:xlrd2="http://schemas.microsoft.com/office/spreadsheetml/2017/richdata2" ref="C3:C32">
    <sortCondition ref="C3:C32"/>
  </sortState>
  <mergeCells count="1">
    <mergeCell ref="B1:J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3" name="Check Box 1">
              <controlPr defaultSize="0" autoFill="0" autoLine="0" autoPict="0" altText="">
                <anchor moveWithCells="1">
                  <from>
                    <xdr:col>7</xdr:col>
                    <xdr:colOff>38100</xdr:colOff>
                    <xdr:row>0</xdr:row>
                    <xdr:rowOff>22860</xdr:rowOff>
                  </from>
                  <to>
                    <xdr:col>7</xdr:col>
                    <xdr:colOff>327660</xdr:colOff>
                    <xdr:row>0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BFCF-9C22-42D6-9335-DE54DDEBE41B}">
  <sheetPr>
    <tabColor theme="0"/>
  </sheetPr>
  <dimension ref="B1:K11"/>
  <sheetViews>
    <sheetView zoomScale="145" zoomScaleNormal="145" workbookViewId="0">
      <selection activeCell="F4" sqref="F4:G10"/>
    </sheetView>
  </sheetViews>
  <sheetFormatPr defaultColWidth="8.8984375" defaultRowHeight="16.8" x14ac:dyDescent="0.4"/>
  <cols>
    <col min="1" max="1" width="1.59765625" style="16" customWidth="1"/>
    <col min="2" max="2" width="3.296875" style="16" customWidth="1"/>
    <col min="3" max="3" width="6.59765625" style="16" customWidth="1"/>
    <col min="4" max="4" width="11.09765625" style="16" customWidth="1"/>
    <col min="5" max="5" width="10.59765625" style="16" bestFit="1" customWidth="1"/>
    <col min="6" max="6" width="10.296875" style="16" customWidth="1"/>
    <col min="7" max="7" width="9.19921875" style="16" customWidth="1"/>
    <col min="8" max="8" width="0.59765625" style="16" customWidth="1"/>
    <col min="9" max="11" width="10.59765625" style="16" customWidth="1"/>
    <col min="12" max="12" width="11.59765625" style="16" customWidth="1"/>
    <col min="13" max="13" width="9.3984375" style="16" bestFit="1" customWidth="1"/>
    <col min="14" max="16384" width="8.8984375" style="16"/>
  </cols>
  <sheetData>
    <row r="1" spans="2:11" s="35" customFormat="1" ht="23.25" customHeight="1" x14ac:dyDescent="0.35">
      <c r="B1" s="85" t="s">
        <v>797</v>
      </c>
      <c r="C1" s="85"/>
      <c r="D1" s="85"/>
      <c r="E1" s="85"/>
      <c r="F1" s="85"/>
      <c r="G1" s="85"/>
      <c r="H1" s="85"/>
      <c r="I1" s="85"/>
      <c r="J1" s="85"/>
    </row>
    <row r="2" spans="2:11" x14ac:dyDescent="0.4">
      <c r="B2" s="124" t="s">
        <v>36</v>
      </c>
      <c r="C2" s="124" t="s">
        <v>4</v>
      </c>
      <c r="D2" s="125" t="s">
        <v>244</v>
      </c>
      <c r="E2" s="126" t="s">
        <v>245</v>
      </c>
      <c r="F2" s="128" t="s">
        <v>246</v>
      </c>
      <c r="G2" s="122" t="s">
        <v>247</v>
      </c>
    </row>
    <row r="3" spans="2:11" ht="15" customHeight="1" x14ac:dyDescent="0.4">
      <c r="B3" s="124"/>
      <c r="C3" s="124"/>
      <c r="D3" s="125"/>
      <c r="E3" s="127"/>
      <c r="F3" s="128"/>
      <c r="G3" s="123"/>
      <c r="I3" s="16" t="s">
        <v>248</v>
      </c>
    </row>
    <row r="4" spans="2:11" x14ac:dyDescent="0.4">
      <c r="B4" s="18">
        <v>1</v>
      </c>
      <c r="C4" s="19" t="s">
        <v>14</v>
      </c>
      <c r="D4" s="18" t="s">
        <v>249</v>
      </c>
      <c r="E4" s="18" t="s">
        <v>250</v>
      </c>
      <c r="F4" s="74"/>
      <c r="G4" s="74"/>
      <c r="I4" s="9" t="s">
        <v>244</v>
      </c>
      <c r="J4" s="9" t="s">
        <v>246</v>
      </c>
      <c r="K4" s="9" t="s">
        <v>251</v>
      </c>
    </row>
    <row r="5" spans="2:11" x14ac:dyDescent="0.4">
      <c r="B5" s="18">
        <v>2</v>
      </c>
      <c r="C5" s="19" t="s">
        <v>15</v>
      </c>
      <c r="D5" s="18" t="s">
        <v>252</v>
      </c>
      <c r="E5" s="18" t="s">
        <v>253</v>
      </c>
      <c r="F5" s="74"/>
      <c r="G5" s="74"/>
      <c r="I5" s="19" t="s">
        <v>252</v>
      </c>
      <c r="J5" s="36">
        <v>3500000</v>
      </c>
      <c r="K5" s="36">
        <v>500000</v>
      </c>
    </row>
    <row r="6" spans="2:11" x14ac:dyDescent="0.4">
      <c r="B6" s="18">
        <v>3</v>
      </c>
      <c r="C6" s="19" t="s">
        <v>19</v>
      </c>
      <c r="D6" s="18" t="s">
        <v>254</v>
      </c>
      <c r="E6" s="18" t="s">
        <v>253</v>
      </c>
      <c r="F6" s="74"/>
      <c r="G6" s="74"/>
      <c r="I6" s="19" t="s">
        <v>249</v>
      </c>
      <c r="J6" s="36">
        <v>3000000</v>
      </c>
      <c r="K6" s="36">
        <v>400000</v>
      </c>
    </row>
    <row r="7" spans="2:11" x14ac:dyDescent="0.4">
      <c r="B7" s="18">
        <v>4</v>
      </c>
      <c r="C7" s="19" t="s">
        <v>16</v>
      </c>
      <c r="D7" s="18" t="s">
        <v>255</v>
      </c>
      <c r="E7" s="18" t="s">
        <v>250</v>
      </c>
      <c r="F7" s="74"/>
      <c r="G7" s="74"/>
      <c r="I7" s="19" t="s">
        <v>254</v>
      </c>
      <c r="J7" s="36">
        <v>3000000</v>
      </c>
      <c r="K7" s="36">
        <v>350000</v>
      </c>
    </row>
    <row r="8" spans="2:11" x14ac:dyDescent="0.4">
      <c r="B8" s="18">
        <v>5</v>
      </c>
      <c r="C8" s="19" t="s">
        <v>84</v>
      </c>
      <c r="D8" s="18" t="s">
        <v>255</v>
      </c>
      <c r="E8" s="18" t="s">
        <v>250</v>
      </c>
      <c r="F8" s="74"/>
      <c r="G8" s="74"/>
      <c r="I8" s="19" t="s">
        <v>256</v>
      </c>
      <c r="J8" s="36">
        <v>2500000</v>
      </c>
      <c r="K8" s="36">
        <v>250000</v>
      </c>
    </row>
    <row r="9" spans="2:11" x14ac:dyDescent="0.4">
      <c r="B9" s="18">
        <v>6</v>
      </c>
      <c r="C9" s="19" t="s">
        <v>257</v>
      </c>
      <c r="D9" s="18" t="s">
        <v>256</v>
      </c>
      <c r="E9" s="18" t="s">
        <v>250</v>
      </c>
      <c r="F9" s="74"/>
      <c r="G9" s="74"/>
      <c r="I9" s="19" t="s">
        <v>255</v>
      </c>
      <c r="J9" s="36">
        <v>2700000</v>
      </c>
      <c r="K9" s="36">
        <v>500000</v>
      </c>
    </row>
    <row r="10" spans="2:11" x14ac:dyDescent="0.4">
      <c r="B10" s="18">
        <v>7</v>
      </c>
      <c r="C10" s="19" t="s">
        <v>29</v>
      </c>
      <c r="D10" s="18" t="s">
        <v>256</v>
      </c>
      <c r="E10" s="18" t="s">
        <v>253</v>
      </c>
      <c r="F10" s="74"/>
      <c r="G10" s="74"/>
      <c r="H10"/>
    </row>
    <row r="11" spans="2:11" ht="4.5" customHeight="1" x14ac:dyDescent="0.4">
      <c r="B11" s="37"/>
      <c r="C11" s="37"/>
      <c r="D11" s="38"/>
      <c r="E11" s="39"/>
      <c r="F11" s="37"/>
      <c r="G11" s="40"/>
    </row>
  </sheetData>
  <mergeCells count="7">
    <mergeCell ref="B1:J1"/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7761" r:id="rId3" name="Check Box 1">
              <controlPr defaultSize="0" autoFill="0" autoLine="0" autoPict="0" altText="">
                <anchor moveWithCells="1">
                  <from>
                    <xdr:col>6</xdr:col>
                    <xdr:colOff>601980</xdr:colOff>
                    <xdr:row>0</xdr:row>
                    <xdr:rowOff>0</xdr:rowOff>
                  </from>
                  <to>
                    <xdr:col>8</xdr:col>
                    <xdr:colOff>45720</xdr:colOff>
                    <xdr:row>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C10F-3A20-4A0B-809C-A07E93F4734A}">
  <sheetPr>
    <tabColor theme="1"/>
  </sheetPr>
  <dimension ref="B1:H7"/>
  <sheetViews>
    <sheetView zoomScale="205" zoomScaleNormal="205" workbookViewId="0">
      <selection activeCell="B1" sqref="B1:F1"/>
    </sheetView>
  </sheetViews>
  <sheetFormatPr defaultRowHeight="16.8" x14ac:dyDescent="0.4"/>
  <cols>
    <col min="1" max="1" width="3.796875" customWidth="1"/>
    <col min="2" max="2" width="7.796875" customWidth="1"/>
    <col min="3" max="3" width="14.19921875" customWidth="1"/>
    <col min="4" max="4" width="11.8984375" customWidth="1"/>
    <col min="5" max="5" width="12.69921875" customWidth="1"/>
    <col min="6" max="6" width="10.09765625" bestFit="1" customWidth="1"/>
  </cols>
  <sheetData>
    <row r="1" spans="2:8" ht="22.5" customHeight="1" x14ac:dyDescent="0.4">
      <c r="B1" s="80" t="s">
        <v>183</v>
      </c>
      <c r="C1" s="80"/>
      <c r="D1" s="80"/>
      <c r="E1" s="80"/>
      <c r="F1" s="80"/>
      <c r="G1" s="1"/>
      <c r="H1" s="1"/>
    </row>
    <row r="2" spans="2:8" x14ac:dyDescent="0.4">
      <c r="B2" s="25" t="s">
        <v>39</v>
      </c>
      <c r="C2" s="8" t="s">
        <v>41</v>
      </c>
      <c r="D2" s="8" t="s">
        <v>42</v>
      </c>
      <c r="E2" s="8" t="s">
        <v>43</v>
      </c>
      <c r="F2" s="8" t="s">
        <v>90</v>
      </c>
    </row>
    <row r="3" spans="2:8" x14ac:dyDescent="0.4">
      <c r="B3" s="25" t="s">
        <v>5</v>
      </c>
      <c r="C3" s="8" t="s">
        <v>10</v>
      </c>
      <c r="D3" s="8" t="s">
        <v>9</v>
      </c>
      <c r="E3" s="8" t="s">
        <v>44</v>
      </c>
      <c r="F3" s="8" t="s">
        <v>91</v>
      </c>
    </row>
    <row r="4" spans="2:8" x14ac:dyDescent="0.4">
      <c r="B4" s="25" t="s">
        <v>40</v>
      </c>
      <c r="C4" s="26">
        <v>3000000</v>
      </c>
      <c r="D4" s="26">
        <v>5000000</v>
      </c>
      <c r="E4" s="26">
        <v>100000</v>
      </c>
      <c r="F4" s="26">
        <v>200000</v>
      </c>
    </row>
    <row r="5" spans="2:8" ht="18.75" customHeight="1" x14ac:dyDescent="0.4"/>
    <row r="6" spans="2:8" x14ac:dyDescent="0.4">
      <c r="B6" s="15" t="s">
        <v>39</v>
      </c>
      <c r="C6" s="15" t="s">
        <v>5</v>
      </c>
      <c r="D6" s="15" t="s">
        <v>40</v>
      </c>
    </row>
    <row r="7" spans="2:8" x14ac:dyDescent="0.4">
      <c r="B7" s="8" t="s">
        <v>42</v>
      </c>
      <c r="C7" s="11"/>
      <c r="D7" s="29"/>
    </row>
  </sheetData>
  <mergeCells count="1">
    <mergeCell ref="B1:F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0417" r:id="rId3" name="Check Box 1">
              <controlPr defaultSize="0" autoFill="0" autoLine="0" autoPict="0" altText="">
                <anchor moveWithCells="1">
                  <from>
                    <xdr:col>4</xdr:col>
                    <xdr:colOff>990600</xdr:colOff>
                    <xdr:row>0</xdr:row>
                    <xdr:rowOff>22860</xdr:rowOff>
                  </from>
                  <to>
                    <xdr:col>5</xdr:col>
                    <xdr:colOff>190500</xdr:colOff>
                    <xdr:row>0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AEA5-B076-4AE5-B9A3-0A22439181A8}">
  <sheetPr>
    <tabColor theme="0"/>
  </sheetPr>
  <dimension ref="B1:AF11"/>
  <sheetViews>
    <sheetView workbookViewId="0">
      <selection activeCell="C11" sqref="C11:D11"/>
    </sheetView>
  </sheetViews>
  <sheetFormatPr defaultColWidth="8.8984375" defaultRowHeight="16.8" x14ac:dyDescent="0.4"/>
  <cols>
    <col min="1" max="1" width="4.09765625" style="4" customWidth="1"/>
    <col min="2" max="2" width="14.796875" style="4" customWidth="1"/>
    <col min="3" max="3" width="12" style="4" bestFit="1" customWidth="1"/>
    <col min="4" max="4" width="10.19921875" style="4" bestFit="1" customWidth="1"/>
    <col min="5" max="5" width="13.3984375" style="4" bestFit="1" customWidth="1"/>
    <col min="6" max="6" width="10.19921875" style="4" bestFit="1" customWidth="1"/>
    <col min="7" max="7" width="12.19921875" style="4" bestFit="1" customWidth="1"/>
    <col min="8" max="8" width="10.19921875" style="4" bestFit="1" customWidth="1"/>
    <col min="9" max="9" width="13.3984375" style="4" bestFit="1" customWidth="1"/>
    <col min="10" max="10" width="11.3984375" style="4" bestFit="1" customWidth="1"/>
    <col min="11" max="11" width="14" style="4" bestFit="1" customWidth="1"/>
    <col min="12" max="12" width="7.796875" style="4" bestFit="1" customWidth="1"/>
    <col min="13" max="13" width="10.19921875" style="4" bestFit="1" customWidth="1"/>
    <col min="14" max="14" width="12" style="4" bestFit="1" customWidth="1"/>
    <col min="15" max="15" width="10.19921875" style="4" bestFit="1" customWidth="1"/>
    <col min="16" max="16" width="10.796875" style="4" bestFit="1" customWidth="1"/>
    <col min="17" max="17" width="10.19921875" style="4" bestFit="1" customWidth="1"/>
    <col min="18" max="18" width="9" style="4" bestFit="1" customWidth="1"/>
    <col min="19" max="19" width="10.19921875" style="4" bestFit="1" customWidth="1"/>
    <col min="20" max="20" width="13.3984375" style="4" bestFit="1" customWidth="1"/>
    <col min="21" max="21" width="10.19921875" style="4" bestFit="1" customWidth="1"/>
    <col min="22" max="22" width="11.8984375" style="4" bestFit="1" customWidth="1"/>
    <col min="23" max="23" width="10.19921875" style="4" bestFit="1" customWidth="1"/>
    <col min="24" max="24" width="10.796875" style="4" bestFit="1" customWidth="1"/>
    <col min="25" max="25" width="10.19921875" style="4" bestFit="1" customWidth="1"/>
    <col min="26" max="26" width="9.3984375" style="4" bestFit="1" customWidth="1"/>
    <col min="27" max="27" width="7.796875" style="4" bestFit="1" customWidth="1"/>
    <col min="28" max="28" width="9.3984375" style="4" bestFit="1" customWidth="1"/>
    <col min="29" max="29" width="15.296875" style="4" bestFit="1" customWidth="1"/>
    <col min="30" max="30" width="13.296875" style="4" bestFit="1" customWidth="1"/>
    <col min="31" max="31" width="7.796875" style="4" bestFit="1" customWidth="1"/>
    <col min="32" max="32" width="13.3984375" style="4" bestFit="1" customWidth="1"/>
    <col min="33" max="16384" width="8.8984375" style="4"/>
  </cols>
  <sheetData>
    <row r="1" spans="2:32" s="60" customFormat="1" ht="30.75" customHeight="1" x14ac:dyDescent="0.4">
      <c r="B1" s="85" t="s">
        <v>799</v>
      </c>
      <c r="C1" s="85"/>
      <c r="D1" s="85"/>
      <c r="E1" s="85"/>
      <c r="F1" s="85"/>
      <c r="G1" s="85"/>
      <c r="H1" s="85"/>
      <c r="I1" s="85"/>
      <c r="J1" s="85"/>
    </row>
    <row r="2" spans="2:32" x14ac:dyDescent="0.4">
      <c r="B2" s="33" t="s">
        <v>36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</row>
    <row r="3" spans="2:32" x14ac:dyDescent="0.4">
      <c r="B3" s="33" t="s">
        <v>218</v>
      </c>
      <c r="C3" s="8" t="s">
        <v>772</v>
      </c>
      <c r="D3" s="8" t="s">
        <v>736</v>
      </c>
      <c r="E3" s="8" t="s">
        <v>784</v>
      </c>
      <c r="F3" s="8" t="s">
        <v>729</v>
      </c>
      <c r="G3" s="8" t="s">
        <v>773</v>
      </c>
      <c r="H3" s="8" t="s">
        <v>737</v>
      </c>
      <c r="I3" s="8" t="s">
        <v>730</v>
      </c>
      <c r="J3" s="8" t="s">
        <v>785</v>
      </c>
      <c r="K3" s="8" t="s">
        <v>786</v>
      </c>
      <c r="L3" s="8" t="s">
        <v>774</v>
      </c>
      <c r="M3" s="8" t="s">
        <v>775</v>
      </c>
      <c r="N3" s="8" t="s">
        <v>84</v>
      </c>
      <c r="O3" s="8" t="s">
        <v>731</v>
      </c>
      <c r="P3" s="8" t="s">
        <v>787</v>
      </c>
      <c r="Q3" s="8" t="s">
        <v>788</v>
      </c>
      <c r="R3" s="8" t="s">
        <v>776</v>
      </c>
      <c r="S3" s="8" t="s">
        <v>789</v>
      </c>
      <c r="T3" s="8" t="s">
        <v>777</v>
      </c>
      <c r="U3" s="8" t="s">
        <v>778</v>
      </c>
      <c r="V3" s="8" t="s">
        <v>790</v>
      </c>
      <c r="W3" s="8" t="s">
        <v>791</v>
      </c>
      <c r="X3" s="8" t="s">
        <v>779</v>
      </c>
      <c r="Y3" s="8" t="s">
        <v>739</v>
      </c>
      <c r="Z3" s="8" t="s">
        <v>780</v>
      </c>
      <c r="AA3" s="8" t="s">
        <v>781</v>
      </c>
      <c r="AB3" s="8" t="s">
        <v>792</v>
      </c>
      <c r="AC3" s="8" t="s">
        <v>793</v>
      </c>
      <c r="AD3" s="8" t="s">
        <v>782</v>
      </c>
      <c r="AE3" s="8" t="s">
        <v>794</v>
      </c>
      <c r="AF3" s="8" t="s">
        <v>783</v>
      </c>
    </row>
    <row r="4" spans="2:32" x14ac:dyDescent="0.4">
      <c r="B4" s="33" t="s">
        <v>219</v>
      </c>
      <c r="C4" s="8" t="s">
        <v>223</v>
      </c>
      <c r="D4" s="8" t="s">
        <v>226</v>
      </c>
      <c r="E4" s="8" t="s">
        <v>229</v>
      </c>
      <c r="F4" s="8" t="s">
        <v>223</v>
      </c>
      <c r="G4" s="8" t="s">
        <v>226</v>
      </c>
      <c r="H4" s="8" t="s">
        <v>226</v>
      </c>
      <c r="I4" s="8" t="s">
        <v>229</v>
      </c>
      <c r="J4" s="8" t="s">
        <v>223</v>
      </c>
      <c r="K4" s="8" t="s">
        <v>233</v>
      </c>
      <c r="L4" s="8" t="s">
        <v>226</v>
      </c>
      <c r="M4" s="8" t="s">
        <v>223</v>
      </c>
      <c r="N4" s="8" t="s">
        <v>226</v>
      </c>
      <c r="O4" s="8" t="s">
        <v>226</v>
      </c>
      <c r="P4" s="8" t="s">
        <v>226</v>
      </c>
      <c r="Q4" s="8" t="s">
        <v>226</v>
      </c>
      <c r="R4" s="8" t="s">
        <v>226</v>
      </c>
      <c r="S4" s="8" t="s">
        <v>226</v>
      </c>
      <c r="T4" s="8" t="s">
        <v>229</v>
      </c>
      <c r="U4" s="8" t="s">
        <v>223</v>
      </c>
      <c r="V4" s="8" t="s">
        <v>223</v>
      </c>
      <c r="W4" s="8" t="s">
        <v>223</v>
      </c>
      <c r="X4" s="8" t="s">
        <v>226</v>
      </c>
      <c r="Y4" s="8" t="s">
        <v>226</v>
      </c>
      <c r="Z4" s="8" t="s">
        <v>226</v>
      </c>
      <c r="AA4" s="8" t="s">
        <v>226</v>
      </c>
      <c r="AB4" s="8" t="s">
        <v>226</v>
      </c>
      <c r="AC4" s="8" t="s">
        <v>226</v>
      </c>
      <c r="AD4" s="8" t="s">
        <v>226</v>
      </c>
      <c r="AE4" s="8" t="s">
        <v>226</v>
      </c>
      <c r="AF4" s="8" t="s">
        <v>229</v>
      </c>
    </row>
    <row r="5" spans="2:32" x14ac:dyDescent="0.4">
      <c r="B5" s="33" t="s">
        <v>220</v>
      </c>
      <c r="C5" s="8">
        <v>33</v>
      </c>
      <c r="D5" s="8">
        <v>28</v>
      </c>
      <c r="E5" s="8">
        <v>33</v>
      </c>
      <c r="F5" s="8">
        <v>27</v>
      </c>
      <c r="G5" s="8">
        <v>35</v>
      </c>
      <c r="H5" s="8">
        <v>26</v>
      </c>
      <c r="I5" s="8">
        <v>34</v>
      </c>
      <c r="J5" s="8">
        <v>31</v>
      </c>
      <c r="K5" s="8">
        <v>25</v>
      </c>
      <c r="L5" s="8">
        <v>31</v>
      </c>
      <c r="M5" s="8">
        <v>26</v>
      </c>
      <c r="N5" s="8">
        <v>27</v>
      </c>
      <c r="O5" s="8">
        <v>24</v>
      </c>
      <c r="P5" s="8">
        <v>28</v>
      </c>
      <c r="Q5" s="8">
        <v>32</v>
      </c>
      <c r="R5" s="8">
        <v>42</v>
      </c>
      <c r="S5" s="8">
        <v>31</v>
      </c>
      <c r="T5" s="8">
        <v>31</v>
      </c>
      <c r="U5" s="8">
        <v>30</v>
      </c>
      <c r="V5" s="8">
        <v>27</v>
      </c>
      <c r="W5" s="8">
        <v>30</v>
      </c>
      <c r="X5" s="8">
        <v>33</v>
      </c>
      <c r="Y5" s="8">
        <v>27</v>
      </c>
      <c r="Z5" s="8">
        <v>34</v>
      </c>
      <c r="AA5" s="8">
        <v>28</v>
      </c>
      <c r="AB5" s="8">
        <v>34</v>
      </c>
      <c r="AC5" s="8">
        <v>26</v>
      </c>
      <c r="AD5" s="8">
        <v>35</v>
      </c>
      <c r="AE5" s="8">
        <v>28</v>
      </c>
      <c r="AF5" s="8">
        <v>41</v>
      </c>
    </row>
    <row r="6" spans="2:32" x14ac:dyDescent="0.4">
      <c r="B6" s="33" t="s">
        <v>221</v>
      </c>
      <c r="C6" s="8" t="s">
        <v>224</v>
      </c>
      <c r="D6" s="8" t="s">
        <v>227</v>
      </c>
      <c r="E6" s="8" t="s">
        <v>224</v>
      </c>
      <c r="F6" s="8" t="s">
        <v>227</v>
      </c>
      <c r="G6" s="8" t="s">
        <v>224</v>
      </c>
      <c r="H6" s="8" t="s">
        <v>227</v>
      </c>
      <c r="I6" s="8" t="s">
        <v>224</v>
      </c>
      <c r="J6" s="8" t="s">
        <v>227</v>
      </c>
      <c r="K6" s="8" t="s">
        <v>224</v>
      </c>
      <c r="L6" s="8" t="s">
        <v>224</v>
      </c>
      <c r="M6" s="8" t="s">
        <v>227</v>
      </c>
      <c r="N6" s="8" t="s">
        <v>224</v>
      </c>
      <c r="O6" s="8" t="s">
        <v>227</v>
      </c>
      <c r="P6" s="8" t="s">
        <v>224</v>
      </c>
      <c r="Q6" s="8" t="s">
        <v>227</v>
      </c>
      <c r="R6" s="8" t="s">
        <v>224</v>
      </c>
      <c r="S6" s="8" t="s">
        <v>227</v>
      </c>
      <c r="T6" s="8" t="s">
        <v>224</v>
      </c>
      <c r="U6" s="8" t="s">
        <v>227</v>
      </c>
      <c r="V6" s="8" t="s">
        <v>224</v>
      </c>
      <c r="W6" s="8" t="s">
        <v>227</v>
      </c>
      <c r="X6" s="8" t="s">
        <v>224</v>
      </c>
      <c r="Y6" s="8" t="s">
        <v>227</v>
      </c>
      <c r="Z6" s="8" t="s">
        <v>224</v>
      </c>
      <c r="AA6" s="8" t="s">
        <v>224</v>
      </c>
      <c r="AB6" s="8" t="s">
        <v>224</v>
      </c>
      <c r="AC6" s="8" t="s">
        <v>227</v>
      </c>
      <c r="AD6" s="8" t="s">
        <v>227</v>
      </c>
      <c r="AE6" s="8" t="s">
        <v>224</v>
      </c>
      <c r="AF6" s="8" t="s">
        <v>227</v>
      </c>
    </row>
    <row r="7" spans="2:32" x14ac:dyDescent="0.4">
      <c r="B7" s="33" t="s">
        <v>222</v>
      </c>
      <c r="C7" s="8" t="s">
        <v>225</v>
      </c>
      <c r="D7" s="8" t="s">
        <v>228</v>
      </c>
      <c r="E7" s="8" t="s">
        <v>225</v>
      </c>
      <c r="F7" s="8" t="s">
        <v>230</v>
      </c>
      <c r="G7" s="8" t="s">
        <v>231</v>
      </c>
      <c r="H7" s="8" t="s">
        <v>225</v>
      </c>
      <c r="I7" s="8" t="s">
        <v>232</v>
      </c>
      <c r="J7" s="8" t="s">
        <v>230</v>
      </c>
      <c r="K7" s="8" t="s">
        <v>234</v>
      </c>
      <c r="L7" s="8" t="s">
        <v>225</v>
      </c>
      <c r="M7" s="8" t="s">
        <v>225</v>
      </c>
      <c r="N7" s="8" t="s">
        <v>235</v>
      </c>
      <c r="O7" s="8" t="s">
        <v>236</v>
      </c>
      <c r="P7" s="8" t="s">
        <v>225</v>
      </c>
      <c r="Q7" s="8" t="s">
        <v>237</v>
      </c>
      <c r="R7" s="8" t="s">
        <v>235</v>
      </c>
      <c r="S7" s="8" t="s">
        <v>234</v>
      </c>
      <c r="T7" s="8" t="s">
        <v>238</v>
      </c>
      <c r="U7" s="8" t="s">
        <v>225</v>
      </c>
      <c r="V7" s="8" t="s">
        <v>239</v>
      </c>
      <c r="W7" s="8" t="s">
        <v>240</v>
      </c>
      <c r="X7" s="8" t="s">
        <v>225</v>
      </c>
      <c r="Y7" s="8" t="s">
        <v>241</v>
      </c>
      <c r="Z7" s="8" t="s">
        <v>225</v>
      </c>
      <c r="AA7" s="8" t="s">
        <v>225</v>
      </c>
      <c r="AB7" s="8" t="s">
        <v>242</v>
      </c>
      <c r="AC7" s="8" t="s">
        <v>237</v>
      </c>
      <c r="AD7" s="8" t="s">
        <v>225</v>
      </c>
      <c r="AE7" s="8" t="s">
        <v>225</v>
      </c>
      <c r="AF7" s="8" t="s">
        <v>225</v>
      </c>
    </row>
    <row r="10" spans="2:32" x14ac:dyDescent="0.4">
      <c r="B10" s="5" t="s">
        <v>4</v>
      </c>
      <c r="C10" s="6" t="s">
        <v>37</v>
      </c>
      <c r="D10" s="6" t="s">
        <v>243</v>
      </c>
    </row>
    <row r="11" spans="2:32" x14ac:dyDescent="0.4">
      <c r="B11" s="7" t="s">
        <v>737</v>
      </c>
      <c r="C11" s="8"/>
      <c r="D11" s="7"/>
    </row>
  </sheetData>
  <mergeCells count="1">
    <mergeCell ref="B1:J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809" r:id="rId3" name="Check Box 1">
              <controlPr defaultSize="0" autoFill="0" autoLine="0" autoPict="0" altText="">
                <anchor moveWithCells="1">
                  <from>
                    <xdr:col>6</xdr:col>
                    <xdr:colOff>502920</xdr:colOff>
                    <xdr:row>0</xdr:row>
                    <xdr:rowOff>76200</xdr:rowOff>
                  </from>
                  <to>
                    <xdr:col>6</xdr:col>
                    <xdr:colOff>731520</xdr:colOff>
                    <xdr:row>0</xdr:row>
                    <xdr:rowOff>327660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FD1F-527D-41CB-8D35-5EFE9FFA99FD}">
  <sheetPr>
    <tabColor theme="0"/>
  </sheetPr>
  <dimension ref="B1:N11"/>
  <sheetViews>
    <sheetView zoomScale="130" zoomScaleNormal="130" workbookViewId="0">
      <selection activeCell="F4" sqref="F4:G10"/>
    </sheetView>
  </sheetViews>
  <sheetFormatPr defaultColWidth="8.8984375" defaultRowHeight="16.8" x14ac:dyDescent="0.4"/>
  <cols>
    <col min="1" max="1" width="0.19921875" style="16" customWidth="1"/>
    <col min="2" max="2" width="3.296875" style="16" customWidth="1"/>
    <col min="3" max="3" width="6.59765625" style="16" customWidth="1"/>
    <col min="4" max="4" width="11.09765625" style="16" customWidth="1"/>
    <col min="5" max="5" width="10.59765625" style="16" bestFit="1" customWidth="1"/>
    <col min="6" max="6" width="10.296875" style="16" customWidth="1"/>
    <col min="7" max="7" width="9.19921875" style="16" customWidth="1"/>
    <col min="8" max="8" width="0.59765625" style="16" customWidth="1"/>
    <col min="9" max="9" width="10.59765625" style="16" customWidth="1"/>
    <col min="10" max="14" width="10.09765625" style="16" customWidth="1"/>
    <col min="15" max="16384" width="8.8984375" style="16"/>
  </cols>
  <sheetData>
    <row r="1" spans="2:14" s="66" customFormat="1" ht="24" customHeight="1" x14ac:dyDescent="0.4">
      <c r="B1" s="85" t="s">
        <v>798</v>
      </c>
      <c r="C1" s="85"/>
      <c r="D1" s="85"/>
      <c r="E1" s="85"/>
      <c r="F1" s="85"/>
      <c r="G1" s="85"/>
      <c r="H1" s="85"/>
      <c r="I1" s="85"/>
      <c r="J1" s="85"/>
    </row>
    <row r="2" spans="2:14" x14ac:dyDescent="0.4">
      <c r="B2" s="128" t="s">
        <v>36</v>
      </c>
      <c r="C2" s="128" t="s">
        <v>4</v>
      </c>
      <c r="D2" s="103" t="s">
        <v>244</v>
      </c>
      <c r="E2" s="122" t="s">
        <v>245</v>
      </c>
      <c r="F2" s="128" t="s">
        <v>246</v>
      </c>
      <c r="G2" s="122" t="s">
        <v>247</v>
      </c>
    </row>
    <row r="3" spans="2:14" ht="15" customHeight="1" x14ac:dyDescent="0.4">
      <c r="B3" s="128"/>
      <c r="C3" s="128"/>
      <c r="D3" s="103"/>
      <c r="E3" s="123"/>
      <c r="F3" s="128"/>
      <c r="G3" s="123"/>
      <c r="I3" s="16" t="s">
        <v>248</v>
      </c>
    </row>
    <row r="4" spans="2:14" x14ac:dyDescent="0.4">
      <c r="B4" s="18">
        <v>1</v>
      </c>
      <c r="C4" s="19" t="s">
        <v>14</v>
      </c>
      <c r="D4" s="18" t="s">
        <v>249</v>
      </c>
      <c r="E4" s="18" t="s">
        <v>250</v>
      </c>
      <c r="F4" s="74"/>
      <c r="G4" s="74"/>
      <c r="I4" s="9" t="s">
        <v>244</v>
      </c>
      <c r="J4" s="18" t="s">
        <v>252</v>
      </c>
      <c r="K4" s="18" t="s">
        <v>249</v>
      </c>
      <c r="L4" s="18" t="s">
        <v>254</v>
      </c>
      <c r="M4" s="18" t="s">
        <v>256</v>
      </c>
      <c r="N4" s="18" t="s">
        <v>255</v>
      </c>
    </row>
    <row r="5" spans="2:14" x14ac:dyDescent="0.4">
      <c r="B5" s="18">
        <v>2</v>
      </c>
      <c r="C5" s="19" t="s">
        <v>15</v>
      </c>
      <c r="D5" s="18" t="s">
        <v>252</v>
      </c>
      <c r="E5" s="18" t="s">
        <v>253</v>
      </c>
      <c r="F5" s="74"/>
      <c r="G5" s="74"/>
      <c r="I5" s="9" t="s">
        <v>246</v>
      </c>
      <c r="J5" s="59">
        <v>3500000</v>
      </c>
      <c r="K5" s="59">
        <v>3000000</v>
      </c>
      <c r="L5" s="59">
        <v>3000000</v>
      </c>
      <c r="M5" s="59">
        <v>2500000</v>
      </c>
      <c r="N5" s="59">
        <v>2700000</v>
      </c>
    </row>
    <row r="6" spans="2:14" x14ac:dyDescent="0.4">
      <c r="B6" s="18">
        <v>3</v>
      </c>
      <c r="C6" s="19" t="s">
        <v>19</v>
      </c>
      <c r="D6" s="18" t="s">
        <v>254</v>
      </c>
      <c r="E6" s="18" t="s">
        <v>253</v>
      </c>
      <c r="F6" s="74"/>
      <c r="G6" s="74"/>
      <c r="I6" s="9" t="s">
        <v>251</v>
      </c>
      <c r="J6" s="59">
        <v>500000</v>
      </c>
      <c r="K6" s="59">
        <v>400000</v>
      </c>
      <c r="L6" s="59">
        <v>350000</v>
      </c>
      <c r="M6" s="59">
        <v>250000</v>
      </c>
      <c r="N6" s="59">
        <v>500000</v>
      </c>
    </row>
    <row r="7" spans="2:14" x14ac:dyDescent="0.4">
      <c r="B7" s="18">
        <v>4</v>
      </c>
      <c r="C7" s="19" t="s">
        <v>16</v>
      </c>
      <c r="D7" s="18" t="s">
        <v>255</v>
      </c>
      <c r="E7" s="18" t="s">
        <v>250</v>
      </c>
      <c r="F7" s="74"/>
      <c r="G7" s="74"/>
    </row>
    <row r="8" spans="2:14" x14ac:dyDescent="0.4">
      <c r="B8" s="18">
        <v>5</v>
      </c>
      <c r="C8" s="19" t="s">
        <v>84</v>
      </c>
      <c r="D8" s="18" t="s">
        <v>255</v>
      </c>
      <c r="E8" s="18" t="s">
        <v>250</v>
      </c>
      <c r="F8" s="74"/>
      <c r="G8" s="74"/>
    </row>
    <row r="9" spans="2:14" x14ac:dyDescent="0.4">
      <c r="B9" s="18">
        <v>6</v>
      </c>
      <c r="C9" s="19" t="s">
        <v>257</v>
      </c>
      <c r="D9" s="18" t="s">
        <v>256</v>
      </c>
      <c r="E9" s="18" t="s">
        <v>250</v>
      </c>
      <c r="F9" s="74"/>
      <c r="G9" s="74"/>
    </row>
    <row r="10" spans="2:14" x14ac:dyDescent="0.4">
      <c r="B10" s="18">
        <v>7</v>
      </c>
      <c r="C10" s="19" t="s">
        <v>29</v>
      </c>
      <c r="D10" s="18" t="s">
        <v>256</v>
      </c>
      <c r="E10" s="18" t="s">
        <v>253</v>
      </c>
      <c r="F10" s="74"/>
      <c r="G10" s="74"/>
      <c r="H10"/>
    </row>
    <row r="11" spans="2:14" ht="4.5" customHeight="1" x14ac:dyDescent="0.4">
      <c r="B11" s="37"/>
      <c r="C11" s="37"/>
      <c r="D11" s="38"/>
      <c r="E11" s="39"/>
      <c r="F11" s="37"/>
      <c r="G11" s="40"/>
    </row>
  </sheetData>
  <mergeCells count="7">
    <mergeCell ref="B1:J1"/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0834" r:id="rId3" name="Check Box 2">
              <controlPr defaultSize="0" autoFill="0" autoLine="0" autoPict="0" altText="">
                <anchor moveWithCells="1">
                  <from>
                    <xdr:col>6</xdr:col>
                    <xdr:colOff>563880</xdr:colOff>
                    <xdr:row>0</xdr:row>
                    <xdr:rowOff>60960</xdr:rowOff>
                  </from>
                  <to>
                    <xdr:col>8</xdr:col>
                    <xdr:colOff>7620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5A25-E30D-4135-9649-4717B8641929}">
  <sheetPr>
    <tabColor theme="1"/>
  </sheetPr>
  <dimension ref="A1:L15"/>
  <sheetViews>
    <sheetView topLeftCell="F1" zoomScale="130" zoomScaleNormal="130" workbookViewId="0">
      <selection activeCell="J8" sqref="J8"/>
    </sheetView>
  </sheetViews>
  <sheetFormatPr defaultRowHeight="16.8" x14ac:dyDescent="0.4"/>
  <cols>
    <col min="1" max="1" width="3.8984375" customWidth="1"/>
    <col min="3" max="3" width="11.59765625" style="4" customWidth="1"/>
    <col min="4" max="4" width="7.19921875" customWidth="1"/>
    <col min="5" max="6" width="10.19921875" customWidth="1"/>
    <col min="7" max="7" width="1.3984375" customWidth="1"/>
    <col min="8" max="8" width="9.8984375" bestFit="1" customWidth="1"/>
    <col min="9" max="9" width="12.59765625" bestFit="1" customWidth="1"/>
    <col min="10" max="21" width="13.796875" bestFit="1" customWidth="1"/>
    <col min="22" max="23" width="9.8984375" bestFit="1" customWidth="1"/>
  </cols>
  <sheetData>
    <row r="1" spans="1:12" x14ac:dyDescent="0.4">
      <c r="A1" s="5" t="s">
        <v>36</v>
      </c>
      <c r="B1" s="5" t="s">
        <v>4</v>
      </c>
      <c r="C1" s="5" t="s">
        <v>30</v>
      </c>
      <c r="D1" s="5" t="s">
        <v>37</v>
      </c>
      <c r="E1" s="5" t="s">
        <v>38</v>
      </c>
      <c r="F1" s="27" t="s">
        <v>74</v>
      </c>
      <c r="H1" s="129" t="s">
        <v>191</v>
      </c>
      <c r="I1" s="129"/>
      <c r="J1" s="129"/>
      <c r="K1" s="129"/>
      <c r="L1" s="129"/>
    </row>
    <row r="2" spans="1:12" x14ac:dyDescent="0.4">
      <c r="A2" s="8">
        <v>1</v>
      </c>
      <c r="B2" s="7" t="s">
        <v>14</v>
      </c>
      <c r="C2" s="8" t="s">
        <v>31</v>
      </c>
      <c r="D2" s="8">
        <v>20</v>
      </c>
      <c r="E2" s="11" t="s">
        <v>17</v>
      </c>
      <c r="F2" s="8" t="s">
        <v>76</v>
      </c>
      <c r="H2" s="129"/>
      <c r="I2" s="129"/>
      <c r="J2" s="129"/>
      <c r="K2" s="129"/>
      <c r="L2" s="129"/>
    </row>
    <row r="3" spans="1:12" x14ac:dyDescent="0.4">
      <c r="A3" s="8">
        <v>2</v>
      </c>
      <c r="B3" s="7" t="s">
        <v>15</v>
      </c>
      <c r="C3" s="8" t="s">
        <v>32</v>
      </c>
      <c r="D3" s="8">
        <v>21</v>
      </c>
      <c r="E3" s="11" t="s">
        <v>18</v>
      </c>
      <c r="F3" s="8" t="s">
        <v>75</v>
      </c>
    </row>
    <row r="4" spans="1:12" x14ac:dyDescent="0.4">
      <c r="A4" s="8">
        <v>3</v>
      </c>
      <c r="B4" s="7" t="s">
        <v>29</v>
      </c>
      <c r="C4" s="8" t="s">
        <v>31</v>
      </c>
      <c r="D4" s="8">
        <v>19</v>
      </c>
      <c r="E4" s="11" t="s">
        <v>17</v>
      </c>
      <c r="F4" s="8" t="s">
        <v>189</v>
      </c>
      <c r="H4" s="2" t="s">
        <v>192</v>
      </c>
    </row>
    <row r="5" spans="1:12" x14ac:dyDescent="0.4">
      <c r="A5" s="8">
        <v>4</v>
      </c>
      <c r="B5" s="7" t="s">
        <v>16</v>
      </c>
      <c r="C5" s="8" t="s">
        <v>32</v>
      </c>
      <c r="D5" s="8">
        <v>20</v>
      </c>
      <c r="E5" s="11" t="s">
        <v>18</v>
      </c>
      <c r="F5" s="8" t="s">
        <v>190</v>
      </c>
    </row>
    <row r="6" spans="1:12" x14ac:dyDescent="0.4">
      <c r="A6" s="8">
        <v>5</v>
      </c>
      <c r="B6" s="7" t="s">
        <v>19</v>
      </c>
      <c r="C6" s="8" t="s">
        <v>32</v>
      </c>
      <c r="D6" s="8">
        <v>22</v>
      </c>
      <c r="E6" s="11" t="s">
        <v>17</v>
      </c>
      <c r="F6" s="8" t="s">
        <v>76</v>
      </c>
    </row>
    <row r="7" spans="1:12" x14ac:dyDescent="0.4">
      <c r="A7" s="8">
        <v>6</v>
      </c>
      <c r="B7" s="7" t="s">
        <v>126</v>
      </c>
      <c r="C7" s="8" t="s">
        <v>31</v>
      </c>
      <c r="D7" s="8">
        <v>21</v>
      </c>
      <c r="E7" s="11" t="s">
        <v>17</v>
      </c>
      <c r="F7" s="8" t="s">
        <v>75</v>
      </c>
    </row>
    <row r="8" spans="1:12" x14ac:dyDescent="0.4">
      <c r="A8" s="8">
        <v>7</v>
      </c>
      <c r="B8" s="7" t="s">
        <v>127</v>
      </c>
      <c r="C8" s="8" t="s">
        <v>32</v>
      </c>
      <c r="D8" s="8">
        <v>18</v>
      </c>
      <c r="E8" s="11" t="s">
        <v>18</v>
      </c>
      <c r="F8" s="8" t="s">
        <v>189</v>
      </c>
    </row>
    <row r="9" spans="1:12" x14ac:dyDescent="0.4">
      <c r="A9" s="8">
        <v>8</v>
      </c>
      <c r="B9" s="7" t="s">
        <v>184</v>
      </c>
      <c r="C9" s="8" t="s">
        <v>31</v>
      </c>
      <c r="D9" s="8">
        <v>21</v>
      </c>
      <c r="E9" s="11" t="s">
        <v>17</v>
      </c>
      <c r="F9" s="8" t="s">
        <v>190</v>
      </c>
    </row>
    <row r="10" spans="1:12" x14ac:dyDescent="0.4">
      <c r="A10" s="8">
        <v>9</v>
      </c>
      <c r="B10" s="7" t="s">
        <v>185</v>
      </c>
      <c r="C10" s="8" t="s">
        <v>32</v>
      </c>
      <c r="D10" s="8">
        <v>23</v>
      </c>
      <c r="E10" s="11" t="s">
        <v>18</v>
      </c>
      <c r="F10" s="8" t="s">
        <v>76</v>
      </c>
    </row>
    <row r="11" spans="1:12" x14ac:dyDescent="0.4">
      <c r="A11" s="8">
        <v>10</v>
      </c>
      <c r="B11" s="7" t="s">
        <v>84</v>
      </c>
      <c r="C11" s="8" t="s">
        <v>32</v>
      </c>
      <c r="D11" s="8">
        <v>19</v>
      </c>
      <c r="E11" s="11" t="s">
        <v>17</v>
      </c>
      <c r="F11" s="8" t="s">
        <v>75</v>
      </c>
    </row>
    <row r="12" spans="1:12" x14ac:dyDescent="0.4">
      <c r="A12" s="8">
        <v>11</v>
      </c>
      <c r="B12" s="7" t="s">
        <v>128</v>
      </c>
      <c r="C12" s="8" t="s">
        <v>32</v>
      </c>
      <c r="D12" s="8">
        <v>18</v>
      </c>
      <c r="E12" s="11" t="s">
        <v>17</v>
      </c>
      <c r="F12" s="8" t="s">
        <v>189</v>
      </c>
    </row>
    <row r="13" spans="1:12" x14ac:dyDescent="0.4">
      <c r="A13" s="8">
        <v>12</v>
      </c>
      <c r="B13" s="7" t="s">
        <v>186</v>
      </c>
      <c r="C13" s="8" t="s">
        <v>32</v>
      </c>
      <c r="D13" s="8">
        <v>18</v>
      </c>
      <c r="E13" s="11" t="s">
        <v>18</v>
      </c>
      <c r="F13" s="8" t="s">
        <v>190</v>
      </c>
    </row>
    <row r="14" spans="1:12" x14ac:dyDescent="0.4">
      <c r="A14" s="8">
        <v>13</v>
      </c>
      <c r="B14" s="7" t="s">
        <v>187</v>
      </c>
      <c r="C14" s="8" t="s">
        <v>31</v>
      </c>
      <c r="D14" s="8">
        <v>22</v>
      </c>
      <c r="E14" s="11" t="s">
        <v>17</v>
      </c>
      <c r="F14" s="8" t="s">
        <v>76</v>
      </c>
    </row>
    <row r="15" spans="1:12" x14ac:dyDescent="0.4">
      <c r="A15" s="8">
        <v>14</v>
      </c>
      <c r="B15" s="7" t="s">
        <v>188</v>
      </c>
      <c r="C15" s="8" t="s">
        <v>31</v>
      </c>
      <c r="D15" s="8">
        <v>23</v>
      </c>
      <c r="E15" s="11" t="s">
        <v>18</v>
      </c>
      <c r="F15" s="8" t="s">
        <v>75</v>
      </c>
    </row>
  </sheetData>
  <mergeCells count="1">
    <mergeCell ref="H1:L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81" r:id="rId3" name="Check Box 1">
              <controlPr defaultSize="0" autoFill="0" autoLine="0" autoPict="0" altText="">
                <anchor moveWithCells="1">
                  <from>
                    <xdr:col>12</xdr:col>
                    <xdr:colOff>68580</xdr:colOff>
                    <xdr:row>0</xdr:row>
                    <xdr:rowOff>76200</xdr:rowOff>
                  </from>
                  <to>
                    <xdr:col>12</xdr:col>
                    <xdr:colOff>350520</xdr:colOff>
                    <xdr:row>1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6EED-9768-4261-B043-E0DE5430EFEF}">
  <sheetPr>
    <tabColor theme="0"/>
  </sheetPr>
  <dimension ref="A1:T154"/>
  <sheetViews>
    <sheetView topLeftCell="B1" workbookViewId="0">
      <selection activeCell="K11" sqref="K11:L17"/>
    </sheetView>
  </sheetViews>
  <sheetFormatPr defaultColWidth="11.19921875" defaultRowHeight="13.8" x14ac:dyDescent="0.4"/>
  <cols>
    <col min="1" max="1" width="3.09765625" style="57" customWidth="1"/>
    <col min="2" max="2" width="11.8984375" style="45" customWidth="1"/>
    <col min="3" max="3" width="10.19921875" style="57" customWidth="1"/>
    <col min="4" max="4" width="9.8984375" style="45" customWidth="1"/>
    <col min="5" max="5" width="10.19921875" style="45" customWidth="1"/>
    <col min="6" max="6" width="6.69921875" style="45" customWidth="1"/>
    <col min="7" max="7" width="11.296875" style="45" customWidth="1"/>
    <col min="8" max="8" width="13.19921875" style="45" customWidth="1"/>
    <col min="9" max="9" width="4" style="45" customWidth="1"/>
    <col min="10" max="10" width="2.19921875" style="45" customWidth="1"/>
    <col min="11" max="11" width="13" style="45" bestFit="1" customWidth="1"/>
    <col min="12" max="12" width="12.59765625" style="45" bestFit="1" customWidth="1"/>
    <col min="13" max="13" width="2.19921875" style="45" customWidth="1"/>
    <col min="14" max="15" width="11.796875" style="45" customWidth="1"/>
    <col min="16" max="20" width="6.796875" style="45" customWidth="1"/>
    <col min="21" max="22" width="10.8984375" style="45" customWidth="1"/>
    <col min="23" max="16384" width="11.19921875" style="45"/>
  </cols>
  <sheetData>
    <row r="1" spans="1:20" ht="21" customHeight="1" x14ac:dyDescent="0.4">
      <c r="A1" s="41" t="s">
        <v>258</v>
      </c>
      <c r="B1" s="42" t="s">
        <v>259</v>
      </c>
      <c r="C1" s="42" t="s">
        <v>260</v>
      </c>
      <c r="D1" s="42" t="s">
        <v>261</v>
      </c>
      <c r="E1" s="42" t="s">
        <v>262</v>
      </c>
      <c r="F1" s="42" t="s">
        <v>263</v>
      </c>
      <c r="G1" s="43" t="s">
        <v>30</v>
      </c>
      <c r="H1" s="44" t="s">
        <v>38</v>
      </c>
      <c r="I1" s="44" t="s">
        <v>264</v>
      </c>
      <c r="K1" s="58" t="s">
        <v>265</v>
      </c>
      <c r="L1" s="58"/>
    </row>
    <row r="2" spans="1:20" ht="15" customHeight="1" x14ac:dyDescent="0.25">
      <c r="A2" s="46">
        <v>1</v>
      </c>
      <c r="B2" s="47">
        <v>1234567891</v>
      </c>
      <c r="C2" s="48" t="s">
        <v>266</v>
      </c>
      <c r="D2" s="48" t="s">
        <v>17</v>
      </c>
      <c r="E2" s="49" t="s">
        <v>267</v>
      </c>
      <c r="F2" s="50">
        <f ca="1">DATEDIF(E2,TODAY(),"Y")</f>
        <v>42</v>
      </c>
      <c r="G2" s="48" t="s">
        <v>32</v>
      </c>
      <c r="H2" s="51" t="s">
        <v>268</v>
      </c>
      <c r="I2" s="52">
        <v>4</v>
      </c>
      <c r="K2" s="130" t="s">
        <v>554</v>
      </c>
      <c r="L2" s="130"/>
      <c r="M2" s="130"/>
      <c r="N2" s="130"/>
      <c r="O2" s="130"/>
      <c r="P2" s="130"/>
      <c r="Q2" s="130"/>
      <c r="T2" s="53"/>
    </row>
    <row r="3" spans="1:20" ht="15" customHeight="1" x14ac:dyDescent="0.25">
      <c r="A3" s="46">
        <v>2</v>
      </c>
      <c r="B3" s="47">
        <v>1234567892</v>
      </c>
      <c r="C3" s="48" t="s">
        <v>269</v>
      </c>
      <c r="D3" s="48" t="s">
        <v>17</v>
      </c>
      <c r="E3" s="49" t="s">
        <v>270</v>
      </c>
      <c r="F3" s="50">
        <f t="shared" ref="F3:F66" ca="1" si="0">DATEDIF(E3,TODAY(),"Y")</f>
        <v>46</v>
      </c>
      <c r="G3" s="48" t="s">
        <v>31</v>
      </c>
      <c r="H3" s="51" t="s">
        <v>268</v>
      </c>
      <c r="I3" s="54">
        <v>2</v>
      </c>
      <c r="K3" s="130" t="s">
        <v>555</v>
      </c>
      <c r="L3" s="130"/>
      <c r="M3" s="130"/>
      <c r="N3" s="130"/>
      <c r="O3" s="130"/>
      <c r="P3" s="130"/>
      <c r="Q3" s="130"/>
      <c r="R3" s="53"/>
      <c r="S3" s="53"/>
      <c r="T3" s="53"/>
    </row>
    <row r="4" spans="1:20" ht="27.6" x14ac:dyDescent="0.25">
      <c r="A4" s="46">
        <v>3</v>
      </c>
      <c r="B4" s="47">
        <v>1234567893</v>
      </c>
      <c r="C4" s="48" t="s">
        <v>271</v>
      </c>
      <c r="D4" s="48" t="s">
        <v>17</v>
      </c>
      <c r="E4" s="49" t="s">
        <v>272</v>
      </c>
      <c r="F4" s="50">
        <f t="shared" ca="1" si="0"/>
        <v>42</v>
      </c>
      <c r="G4" s="48" t="s">
        <v>32</v>
      </c>
      <c r="H4" s="51" t="s">
        <v>268</v>
      </c>
      <c r="I4" s="54">
        <v>2</v>
      </c>
      <c r="K4" s="55"/>
      <c r="L4" s="55"/>
      <c r="M4" s="55"/>
      <c r="N4" s="56"/>
      <c r="O4" s="56"/>
      <c r="P4" s="56"/>
      <c r="Q4" s="56"/>
      <c r="R4" s="53"/>
      <c r="S4" s="53"/>
      <c r="T4" s="53"/>
    </row>
    <row r="5" spans="1:20" ht="15" customHeight="1" x14ac:dyDescent="0.25">
      <c r="A5" s="46">
        <v>4</v>
      </c>
      <c r="B5" s="47">
        <v>1234567894</v>
      </c>
      <c r="C5" s="48" t="s">
        <v>273</v>
      </c>
      <c r="D5" s="48" t="s">
        <v>17</v>
      </c>
      <c r="E5" s="49" t="s">
        <v>274</v>
      </c>
      <c r="F5" s="50">
        <f t="shared" ca="1" si="0"/>
        <v>42</v>
      </c>
      <c r="G5" s="48" t="s">
        <v>32</v>
      </c>
      <c r="H5" s="51" t="s">
        <v>268</v>
      </c>
      <c r="I5" s="54">
        <v>1</v>
      </c>
      <c r="K5" s="56"/>
      <c r="P5" s="56"/>
      <c r="Q5" s="56"/>
      <c r="R5" s="56"/>
    </row>
    <row r="6" spans="1:20" ht="29.4" x14ac:dyDescent="0.4">
      <c r="A6" s="46">
        <v>5</v>
      </c>
      <c r="B6" s="47">
        <v>1234567895</v>
      </c>
      <c r="C6" s="48" t="s">
        <v>275</v>
      </c>
      <c r="D6" s="48" t="s">
        <v>17</v>
      </c>
      <c r="E6" s="49" t="s">
        <v>276</v>
      </c>
      <c r="F6" s="50">
        <f t="shared" ca="1" si="0"/>
        <v>36</v>
      </c>
      <c r="G6" s="48" t="s">
        <v>32</v>
      </c>
      <c r="H6" s="51" t="s">
        <v>268</v>
      </c>
      <c r="I6" s="54">
        <v>5</v>
      </c>
      <c r="K6"/>
      <c r="L6"/>
      <c r="M6"/>
      <c r="P6" s="56"/>
      <c r="Q6" s="56"/>
      <c r="R6" s="56"/>
    </row>
    <row r="7" spans="1:20" ht="29.4" x14ac:dyDescent="0.4">
      <c r="A7" s="46">
        <v>6</v>
      </c>
      <c r="B7" s="47">
        <v>1234567896</v>
      </c>
      <c r="C7" s="48" t="s">
        <v>277</v>
      </c>
      <c r="D7" s="48" t="s">
        <v>17</v>
      </c>
      <c r="E7" s="49" t="s">
        <v>278</v>
      </c>
      <c r="F7" s="50">
        <f t="shared" ca="1" si="0"/>
        <v>45</v>
      </c>
      <c r="G7" s="48" t="s">
        <v>32</v>
      </c>
      <c r="H7" s="51" t="s">
        <v>268</v>
      </c>
      <c r="I7" s="54">
        <v>2</v>
      </c>
      <c r="K7"/>
      <c r="L7"/>
      <c r="M7"/>
    </row>
    <row r="8" spans="1:20" ht="29.4" x14ac:dyDescent="0.4">
      <c r="A8" s="46">
        <v>7</v>
      </c>
      <c r="B8" s="47">
        <v>1234567897</v>
      </c>
      <c r="C8" s="48" t="s">
        <v>279</v>
      </c>
      <c r="D8" s="48" t="s">
        <v>17</v>
      </c>
      <c r="E8" s="49" t="s">
        <v>280</v>
      </c>
      <c r="F8" s="50">
        <f t="shared" ca="1" si="0"/>
        <v>40</v>
      </c>
      <c r="G8" s="48" t="s">
        <v>32</v>
      </c>
      <c r="H8" s="51" t="s">
        <v>268</v>
      </c>
      <c r="I8" s="54">
        <v>1</v>
      </c>
      <c r="K8"/>
      <c r="L8"/>
      <c r="M8"/>
    </row>
    <row r="9" spans="1:20" ht="29.4" x14ac:dyDescent="0.4">
      <c r="A9" s="46">
        <v>8</v>
      </c>
      <c r="B9" s="47">
        <v>1234567898</v>
      </c>
      <c r="C9" s="48" t="s">
        <v>281</v>
      </c>
      <c r="D9" s="48" t="s">
        <v>17</v>
      </c>
      <c r="E9" s="49" t="s">
        <v>282</v>
      </c>
      <c r="F9" s="50">
        <f t="shared" ca="1" si="0"/>
        <v>35</v>
      </c>
      <c r="G9" s="48" t="s">
        <v>31</v>
      </c>
      <c r="H9" s="51" t="s">
        <v>268</v>
      </c>
      <c r="I9" s="54">
        <v>4</v>
      </c>
      <c r="K9"/>
      <c r="L9"/>
      <c r="M9"/>
    </row>
    <row r="10" spans="1:20" ht="29.4" x14ac:dyDescent="0.4">
      <c r="A10" s="46">
        <v>9</v>
      </c>
      <c r="B10" s="47">
        <v>1234567899</v>
      </c>
      <c r="C10" s="48" t="s">
        <v>283</v>
      </c>
      <c r="D10" s="48" t="s">
        <v>17</v>
      </c>
      <c r="E10" s="49" t="s">
        <v>284</v>
      </c>
      <c r="F10" s="50">
        <f t="shared" ca="1" si="0"/>
        <v>65</v>
      </c>
      <c r="G10" s="48" t="s">
        <v>31</v>
      </c>
      <c r="H10" s="51" t="s">
        <v>268</v>
      </c>
      <c r="I10" s="54">
        <v>1</v>
      </c>
      <c r="K10"/>
      <c r="L10"/>
      <c r="M10"/>
    </row>
    <row r="11" spans="1:20" ht="29.4" x14ac:dyDescent="0.4">
      <c r="A11" s="46">
        <v>10</v>
      </c>
      <c r="B11" s="47">
        <v>1234567900</v>
      </c>
      <c r="C11" s="48" t="s">
        <v>285</v>
      </c>
      <c r="D11" s="48" t="s">
        <v>17</v>
      </c>
      <c r="E11" s="49" t="s">
        <v>286</v>
      </c>
      <c r="F11" s="50">
        <f t="shared" ca="1" si="0"/>
        <v>34</v>
      </c>
      <c r="G11" s="48" t="s">
        <v>31</v>
      </c>
      <c r="H11" s="51" t="s">
        <v>268</v>
      </c>
      <c r="I11" s="54">
        <v>1</v>
      </c>
      <c r="K11"/>
      <c r="L11"/>
      <c r="M11"/>
    </row>
    <row r="12" spans="1:20" ht="29.4" x14ac:dyDescent="0.4">
      <c r="A12" s="46">
        <v>11</v>
      </c>
      <c r="B12" s="47">
        <v>1234567901</v>
      </c>
      <c r="C12" s="48" t="s">
        <v>287</v>
      </c>
      <c r="D12" s="48" t="s">
        <v>17</v>
      </c>
      <c r="E12" s="49" t="s">
        <v>288</v>
      </c>
      <c r="F12" s="50">
        <f t="shared" ca="1" si="0"/>
        <v>90</v>
      </c>
      <c r="G12" s="48" t="s">
        <v>31</v>
      </c>
      <c r="H12" s="51" t="s">
        <v>268</v>
      </c>
      <c r="I12" s="54">
        <v>1</v>
      </c>
      <c r="K12"/>
      <c r="L12"/>
      <c r="M12"/>
    </row>
    <row r="13" spans="1:20" ht="29.4" x14ac:dyDescent="0.4">
      <c r="A13" s="46">
        <v>12</v>
      </c>
      <c r="B13" s="47">
        <v>1234567902</v>
      </c>
      <c r="C13" s="48" t="s">
        <v>289</v>
      </c>
      <c r="D13" s="48" t="s">
        <v>17</v>
      </c>
      <c r="E13" s="49" t="s">
        <v>290</v>
      </c>
      <c r="F13" s="50">
        <f t="shared" ca="1" si="0"/>
        <v>52</v>
      </c>
      <c r="G13" s="48" t="s">
        <v>32</v>
      </c>
      <c r="H13" s="51" t="s">
        <v>268</v>
      </c>
      <c r="I13" s="54">
        <v>2</v>
      </c>
      <c r="K13"/>
      <c r="L13"/>
      <c r="M13"/>
    </row>
    <row r="14" spans="1:20" ht="29.4" x14ac:dyDescent="0.4">
      <c r="A14" s="46">
        <v>13</v>
      </c>
      <c r="B14" s="47">
        <v>1234567903</v>
      </c>
      <c r="C14" s="48" t="s">
        <v>291</v>
      </c>
      <c r="D14" s="48" t="s">
        <v>17</v>
      </c>
      <c r="E14" s="49" t="s">
        <v>292</v>
      </c>
      <c r="F14" s="50">
        <f t="shared" ca="1" si="0"/>
        <v>46</v>
      </c>
      <c r="G14" s="48" t="s">
        <v>32</v>
      </c>
      <c r="H14" s="51" t="s">
        <v>268</v>
      </c>
      <c r="I14" s="54">
        <v>3</v>
      </c>
      <c r="K14"/>
      <c r="L14"/>
      <c r="M14"/>
    </row>
    <row r="15" spans="1:20" ht="29.4" x14ac:dyDescent="0.4">
      <c r="A15" s="46">
        <v>14</v>
      </c>
      <c r="B15" s="47">
        <v>1234567904</v>
      </c>
      <c r="C15" s="48" t="s">
        <v>293</v>
      </c>
      <c r="D15" s="48" t="s">
        <v>17</v>
      </c>
      <c r="E15" s="49" t="s">
        <v>294</v>
      </c>
      <c r="F15" s="50">
        <f t="shared" ca="1" si="0"/>
        <v>36</v>
      </c>
      <c r="G15" s="48" t="s">
        <v>31</v>
      </c>
      <c r="H15" s="51" t="s">
        <v>268</v>
      </c>
      <c r="I15" s="54">
        <v>2</v>
      </c>
      <c r="K15"/>
      <c r="L15"/>
      <c r="M15"/>
    </row>
    <row r="16" spans="1:20" ht="29.4" x14ac:dyDescent="0.4">
      <c r="A16" s="46">
        <v>15</v>
      </c>
      <c r="B16" s="47">
        <v>1234567905</v>
      </c>
      <c r="C16" s="48" t="s">
        <v>295</v>
      </c>
      <c r="D16" s="48" t="s">
        <v>17</v>
      </c>
      <c r="E16" s="49" t="s">
        <v>296</v>
      </c>
      <c r="F16" s="50">
        <f t="shared" ca="1" si="0"/>
        <v>61</v>
      </c>
      <c r="G16" s="48" t="s">
        <v>32</v>
      </c>
      <c r="H16" s="51" t="s">
        <v>268</v>
      </c>
      <c r="I16" s="54">
        <v>4</v>
      </c>
      <c r="K16"/>
      <c r="L16"/>
      <c r="M16"/>
    </row>
    <row r="17" spans="1:13" ht="29.4" x14ac:dyDescent="0.4">
      <c r="A17" s="46">
        <v>16</v>
      </c>
      <c r="B17" s="47">
        <v>1234567906</v>
      </c>
      <c r="C17" s="48" t="s">
        <v>297</v>
      </c>
      <c r="D17" s="48" t="s">
        <v>17</v>
      </c>
      <c r="E17" s="49" t="s">
        <v>298</v>
      </c>
      <c r="F17" s="50">
        <f t="shared" ca="1" si="0"/>
        <v>43</v>
      </c>
      <c r="G17" s="48" t="s">
        <v>31</v>
      </c>
      <c r="H17" s="51" t="s">
        <v>268</v>
      </c>
      <c r="I17" s="54">
        <v>4</v>
      </c>
      <c r="K17"/>
      <c r="L17"/>
      <c r="M17"/>
    </row>
    <row r="18" spans="1:13" ht="29.4" x14ac:dyDescent="0.4">
      <c r="A18" s="46">
        <v>17</v>
      </c>
      <c r="B18" s="47">
        <v>1234567907</v>
      </c>
      <c r="C18" s="48" t="s">
        <v>299</v>
      </c>
      <c r="D18" s="48" t="s">
        <v>17</v>
      </c>
      <c r="E18" s="49" t="s">
        <v>300</v>
      </c>
      <c r="F18" s="50">
        <f t="shared" ca="1" si="0"/>
        <v>30</v>
      </c>
      <c r="G18" s="48" t="s">
        <v>32</v>
      </c>
      <c r="H18" s="51" t="s">
        <v>268</v>
      </c>
      <c r="I18" s="54">
        <v>3</v>
      </c>
      <c r="K18"/>
      <c r="L18"/>
      <c r="M18"/>
    </row>
    <row r="19" spans="1:13" ht="29.4" x14ac:dyDescent="0.4">
      <c r="A19" s="46">
        <v>18</v>
      </c>
      <c r="B19" s="47">
        <v>1234567908</v>
      </c>
      <c r="C19" s="48" t="s">
        <v>301</v>
      </c>
      <c r="D19" s="48" t="s">
        <v>17</v>
      </c>
      <c r="E19" s="49" t="s">
        <v>302</v>
      </c>
      <c r="F19" s="50">
        <f t="shared" ca="1" si="0"/>
        <v>40</v>
      </c>
      <c r="G19" s="48" t="s">
        <v>32</v>
      </c>
      <c r="H19" s="51" t="s">
        <v>268</v>
      </c>
      <c r="I19" s="54">
        <v>3</v>
      </c>
      <c r="K19"/>
      <c r="L19"/>
      <c r="M19"/>
    </row>
    <row r="20" spans="1:13" ht="29.4" x14ac:dyDescent="0.4">
      <c r="A20" s="46">
        <v>19</v>
      </c>
      <c r="B20" s="47">
        <v>1234567909</v>
      </c>
      <c r="C20" s="48" t="s">
        <v>303</v>
      </c>
      <c r="D20" s="48" t="s">
        <v>17</v>
      </c>
      <c r="E20" s="49" t="s">
        <v>304</v>
      </c>
      <c r="F20" s="50">
        <f t="shared" ca="1" si="0"/>
        <v>44</v>
      </c>
      <c r="G20" s="48" t="s">
        <v>31</v>
      </c>
      <c r="H20" s="51" t="s">
        <v>268</v>
      </c>
      <c r="I20" s="54">
        <v>2</v>
      </c>
      <c r="K20"/>
      <c r="L20"/>
      <c r="M20"/>
    </row>
    <row r="21" spans="1:13" ht="29.4" x14ac:dyDescent="0.4">
      <c r="A21" s="46">
        <v>20</v>
      </c>
      <c r="B21" s="47">
        <v>1234567910</v>
      </c>
      <c r="C21" s="48" t="s">
        <v>305</v>
      </c>
      <c r="D21" s="48" t="s">
        <v>17</v>
      </c>
      <c r="E21" s="49" t="s">
        <v>306</v>
      </c>
      <c r="F21" s="50">
        <f t="shared" ca="1" si="0"/>
        <v>32</v>
      </c>
      <c r="G21" s="48" t="s">
        <v>31</v>
      </c>
      <c r="H21" s="51" t="s">
        <v>268</v>
      </c>
      <c r="I21" s="54">
        <v>5</v>
      </c>
      <c r="K21"/>
      <c r="L21"/>
      <c r="M21"/>
    </row>
    <row r="22" spans="1:13" ht="29.4" x14ac:dyDescent="0.4">
      <c r="A22" s="46">
        <v>21</v>
      </c>
      <c r="B22" s="47">
        <v>1234567911</v>
      </c>
      <c r="C22" s="48" t="s">
        <v>307</v>
      </c>
      <c r="D22" s="48" t="s">
        <v>17</v>
      </c>
      <c r="E22" s="49" t="s">
        <v>308</v>
      </c>
      <c r="F22" s="50">
        <f t="shared" ca="1" si="0"/>
        <v>34</v>
      </c>
      <c r="G22" s="48" t="s">
        <v>32</v>
      </c>
      <c r="H22" s="51" t="s">
        <v>268</v>
      </c>
      <c r="I22" s="54">
        <v>3</v>
      </c>
      <c r="K22"/>
      <c r="L22"/>
      <c r="M22"/>
    </row>
    <row r="23" spans="1:13" ht="29.4" x14ac:dyDescent="0.4">
      <c r="A23" s="46">
        <v>22</v>
      </c>
      <c r="B23" s="47">
        <v>1234567912</v>
      </c>
      <c r="C23" s="48" t="s">
        <v>309</v>
      </c>
      <c r="D23" s="48" t="s">
        <v>17</v>
      </c>
      <c r="E23" s="49" t="s">
        <v>310</v>
      </c>
      <c r="F23" s="50">
        <f t="shared" ca="1" si="0"/>
        <v>59</v>
      </c>
      <c r="G23" s="48" t="s">
        <v>32</v>
      </c>
      <c r="H23" s="51" t="s">
        <v>268</v>
      </c>
      <c r="I23" s="54">
        <v>2</v>
      </c>
      <c r="K23"/>
      <c r="L23"/>
      <c r="M23"/>
    </row>
    <row r="24" spans="1:13" ht="29.4" x14ac:dyDescent="0.4">
      <c r="A24" s="46">
        <v>23</v>
      </c>
      <c r="B24" s="47">
        <v>1234567913</v>
      </c>
      <c r="C24" s="48" t="s">
        <v>311</v>
      </c>
      <c r="D24" s="48" t="s">
        <v>17</v>
      </c>
      <c r="E24" s="49" t="s">
        <v>312</v>
      </c>
      <c r="F24" s="50">
        <f t="shared" ca="1" si="0"/>
        <v>38</v>
      </c>
      <c r="G24" s="48" t="s">
        <v>32</v>
      </c>
      <c r="H24" s="51" t="s">
        <v>268</v>
      </c>
      <c r="I24" s="54">
        <v>5</v>
      </c>
      <c r="K24"/>
    </row>
    <row r="25" spans="1:13" ht="29.4" x14ac:dyDescent="0.4">
      <c r="A25" s="46">
        <v>24</v>
      </c>
      <c r="B25" s="47">
        <v>1234567914</v>
      </c>
      <c r="C25" s="48" t="s">
        <v>313</v>
      </c>
      <c r="D25" s="48" t="s">
        <v>17</v>
      </c>
      <c r="E25" s="49" t="s">
        <v>314</v>
      </c>
      <c r="F25" s="50">
        <f t="shared" ca="1" si="0"/>
        <v>38</v>
      </c>
      <c r="G25" s="48" t="s">
        <v>31</v>
      </c>
      <c r="H25" s="51" t="s">
        <v>268</v>
      </c>
      <c r="I25" s="54">
        <v>3</v>
      </c>
      <c r="K25"/>
    </row>
    <row r="26" spans="1:13" ht="29.4" x14ac:dyDescent="0.4">
      <c r="A26" s="46">
        <v>25</v>
      </c>
      <c r="B26" s="47">
        <v>1234567915</v>
      </c>
      <c r="C26" s="48" t="s">
        <v>315</v>
      </c>
      <c r="D26" s="48" t="s">
        <v>17</v>
      </c>
      <c r="E26" s="49" t="s">
        <v>316</v>
      </c>
      <c r="F26" s="50">
        <f t="shared" ca="1" si="0"/>
        <v>63</v>
      </c>
      <c r="G26" s="48" t="s">
        <v>31</v>
      </c>
      <c r="H26" s="51" t="s">
        <v>268</v>
      </c>
      <c r="I26" s="54">
        <v>4</v>
      </c>
      <c r="K26"/>
    </row>
    <row r="27" spans="1:13" ht="29.4" x14ac:dyDescent="0.4">
      <c r="A27" s="46">
        <v>26</v>
      </c>
      <c r="B27" s="47">
        <v>1234567916</v>
      </c>
      <c r="C27" s="48" t="s">
        <v>317</v>
      </c>
      <c r="D27" s="48" t="s">
        <v>17</v>
      </c>
      <c r="E27" s="49" t="s">
        <v>318</v>
      </c>
      <c r="F27" s="50">
        <f t="shared" ca="1" si="0"/>
        <v>41</v>
      </c>
      <c r="G27" s="48" t="s">
        <v>32</v>
      </c>
      <c r="H27" s="51" t="s">
        <v>268</v>
      </c>
      <c r="I27" s="54">
        <v>3</v>
      </c>
      <c r="K27"/>
    </row>
    <row r="28" spans="1:13" ht="29.4" x14ac:dyDescent="0.4">
      <c r="A28" s="46">
        <v>27</v>
      </c>
      <c r="B28" s="47">
        <v>1234567917</v>
      </c>
      <c r="C28" s="48" t="s">
        <v>319</v>
      </c>
      <c r="D28" s="48" t="s">
        <v>17</v>
      </c>
      <c r="E28" s="49" t="s">
        <v>320</v>
      </c>
      <c r="F28" s="50">
        <f t="shared" ca="1" si="0"/>
        <v>63</v>
      </c>
      <c r="G28" s="48" t="s">
        <v>31</v>
      </c>
      <c r="H28" s="51" t="s">
        <v>268</v>
      </c>
      <c r="I28" s="54">
        <v>3</v>
      </c>
      <c r="K28"/>
    </row>
    <row r="29" spans="1:13" ht="29.4" x14ac:dyDescent="0.4">
      <c r="A29" s="46">
        <v>28</v>
      </c>
      <c r="B29" s="47">
        <v>1234567918</v>
      </c>
      <c r="C29" s="48" t="s">
        <v>321</v>
      </c>
      <c r="D29" s="48" t="s">
        <v>17</v>
      </c>
      <c r="E29" s="49" t="s">
        <v>322</v>
      </c>
      <c r="F29" s="50">
        <f t="shared" ca="1" si="0"/>
        <v>37</v>
      </c>
      <c r="G29" s="48" t="s">
        <v>32</v>
      </c>
      <c r="H29" s="51" t="s">
        <v>268</v>
      </c>
      <c r="I29" s="54">
        <v>4</v>
      </c>
      <c r="K29"/>
    </row>
    <row r="30" spans="1:13" ht="29.4" x14ac:dyDescent="0.4">
      <c r="A30" s="46">
        <v>29</v>
      </c>
      <c r="B30" s="47">
        <v>1234567919</v>
      </c>
      <c r="C30" s="48" t="s">
        <v>323</v>
      </c>
      <c r="D30" s="48" t="s">
        <v>17</v>
      </c>
      <c r="E30" s="49" t="s">
        <v>324</v>
      </c>
      <c r="F30" s="50">
        <f t="shared" ca="1" si="0"/>
        <v>30</v>
      </c>
      <c r="G30" s="48" t="s">
        <v>32</v>
      </c>
      <c r="H30" s="51" t="s">
        <v>268</v>
      </c>
      <c r="I30" s="54">
        <v>5</v>
      </c>
      <c r="K30"/>
    </row>
    <row r="31" spans="1:13" ht="29.4" x14ac:dyDescent="0.4">
      <c r="A31" s="46">
        <v>30</v>
      </c>
      <c r="B31" s="47">
        <v>1234567920</v>
      </c>
      <c r="C31" s="48" t="s">
        <v>325</v>
      </c>
      <c r="D31" s="48" t="s">
        <v>17</v>
      </c>
      <c r="E31" s="49" t="s">
        <v>326</v>
      </c>
      <c r="F31" s="50">
        <f t="shared" ca="1" si="0"/>
        <v>52</v>
      </c>
      <c r="G31" s="48" t="s">
        <v>32</v>
      </c>
      <c r="H31" s="51" t="s">
        <v>268</v>
      </c>
      <c r="I31" s="54">
        <v>4</v>
      </c>
      <c r="K31"/>
    </row>
    <row r="32" spans="1:13" ht="29.4" x14ac:dyDescent="0.4">
      <c r="A32" s="46">
        <v>31</v>
      </c>
      <c r="B32" s="47">
        <v>1234567921</v>
      </c>
      <c r="C32" s="48" t="s">
        <v>327</v>
      </c>
      <c r="D32" s="48" t="s">
        <v>17</v>
      </c>
      <c r="E32" s="49" t="s">
        <v>328</v>
      </c>
      <c r="F32" s="50">
        <f t="shared" ca="1" si="0"/>
        <v>32</v>
      </c>
      <c r="G32" s="48" t="s">
        <v>32</v>
      </c>
      <c r="H32" s="51" t="s">
        <v>268</v>
      </c>
      <c r="I32" s="54">
        <v>3</v>
      </c>
      <c r="K32"/>
    </row>
    <row r="33" spans="1:11" ht="29.4" x14ac:dyDescent="0.4">
      <c r="A33" s="46">
        <v>32</v>
      </c>
      <c r="B33" s="47">
        <v>1234567922</v>
      </c>
      <c r="C33" s="48" t="s">
        <v>329</v>
      </c>
      <c r="D33" s="48" t="s">
        <v>17</v>
      </c>
      <c r="E33" s="49" t="s">
        <v>330</v>
      </c>
      <c r="F33" s="50">
        <f t="shared" ca="1" si="0"/>
        <v>44</v>
      </c>
      <c r="G33" s="48" t="s">
        <v>31</v>
      </c>
      <c r="H33" s="51" t="s">
        <v>268</v>
      </c>
      <c r="I33" s="54">
        <v>2</v>
      </c>
      <c r="K33"/>
    </row>
    <row r="34" spans="1:11" ht="29.4" x14ac:dyDescent="0.4">
      <c r="A34" s="46">
        <v>33</v>
      </c>
      <c r="B34" s="47">
        <v>1234567923</v>
      </c>
      <c r="C34" s="48" t="s">
        <v>331</v>
      </c>
      <c r="D34" s="48" t="s">
        <v>17</v>
      </c>
      <c r="E34" s="49" t="s">
        <v>332</v>
      </c>
      <c r="F34" s="50">
        <f t="shared" ca="1" si="0"/>
        <v>40</v>
      </c>
      <c r="G34" s="48" t="s">
        <v>31</v>
      </c>
      <c r="H34" s="51" t="s">
        <v>268</v>
      </c>
      <c r="I34" s="54">
        <v>3</v>
      </c>
      <c r="K34"/>
    </row>
    <row r="35" spans="1:11" ht="29.4" x14ac:dyDescent="0.4">
      <c r="A35" s="46">
        <v>34</v>
      </c>
      <c r="B35" s="47">
        <v>1234567924</v>
      </c>
      <c r="C35" s="48" t="s">
        <v>333</v>
      </c>
      <c r="D35" s="48" t="s">
        <v>17</v>
      </c>
      <c r="E35" s="49" t="s">
        <v>334</v>
      </c>
      <c r="F35" s="50">
        <f t="shared" ca="1" si="0"/>
        <v>65</v>
      </c>
      <c r="G35" s="48" t="s">
        <v>31</v>
      </c>
      <c r="H35" s="51" t="s">
        <v>268</v>
      </c>
      <c r="I35" s="54">
        <v>4</v>
      </c>
      <c r="K35"/>
    </row>
    <row r="36" spans="1:11" ht="29.4" x14ac:dyDescent="0.4">
      <c r="A36" s="46">
        <v>35</v>
      </c>
      <c r="B36" s="47">
        <v>1234567925</v>
      </c>
      <c r="C36" s="48" t="s">
        <v>335</v>
      </c>
      <c r="D36" s="48" t="s">
        <v>17</v>
      </c>
      <c r="E36" s="49" t="s">
        <v>336</v>
      </c>
      <c r="F36" s="50">
        <f t="shared" ca="1" si="0"/>
        <v>37</v>
      </c>
      <c r="G36" s="48" t="s">
        <v>31</v>
      </c>
      <c r="H36" s="51" t="s">
        <v>268</v>
      </c>
      <c r="I36" s="54">
        <v>2</v>
      </c>
      <c r="K36"/>
    </row>
    <row r="37" spans="1:11" ht="29.4" x14ac:dyDescent="0.4">
      <c r="A37" s="46">
        <v>36</v>
      </c>
      <c r="B37" s="47">
        <v>1234567926</v>
      </c>
      <c r="C37" s="48" t="s">
        <v>337</v>
      </c>
      <c r="D37" s="48" t="s">
        <v>17</v>
      </c>
      <c r="E37" s="49" t="s">
        <v>338</v>
      </c>
      <c r="F37" s="50">
        <f t="shared" ca="1" si="0"/>
        <v>32</v>
      </c>
      <c r="G37" s="48" t="s">
        <v>31</v>
      </c>
      <c r="H37" s="51" t="s">
        <v>268</v>
      </c>
      <c r="I37" s="54">
        <v>2</v>
      </c>
      <c r="K37"/>
    </row>
    <row r="38" spans="1:11" ht="29.4" x14ac:dyDescent="0.4">
      <c r="A38" s="46">
        <v>37</v>
      </c>
      <c r="B38" s="47">
        <v>1234567927</v>
      </c>
      <c r="C38" s="48" t="s">
        <v>339</v>
      </c>
      <c r="D38" s="48" t="s">
        <v>17</v>
      </c>
      <c r="E38" s="49" t="s">
        <v>340</v>
      </c>
      <c r="F38" s="50">
        <f t="shared" ca="1" si="0"/>
        <v>39</v>
      </c>
      <c r="G38" s="48" t="s">
        <v>32</v>
      </c>
      <c r="H38" s="51" t="s">
        <v>268</v>
      </c>
      <c r="I38" s="54">
        <v>3</v>
      </c>
      <c r="K38"/>
    </row>
    <row r="39" spans="1:11" ht="29.4" x14ac:dyDescent="0.4">
      <c r="A39" s="46">
        <v>38</v>
      </c>
      <c r="B39" s="47">
        <v>1234567928</v>
      </c>
      <c r="C39" s="48" t="s">
        <v>341</v>
      </c>
      <c r="D39" s="48" t="s">
        <v>17</v>
      </c>
      <c r="E39" s="49" t="s">
        <v>342</v>
      </c>
      <c r="F39" s="50">
        <f t="shared" ca="1" si="0"/>
        <v>59</v>
      </c>
      <c r="G39" s="48" t="s">
        <v>32</v>
      </c>
      <c r="H39" s="51" t="s">
        <v>268</v>
      </c>
      <c r="I39" s="54">
        <v>1</v>
      </c>
      <c r="K39"/>
    </row>
    <row r="40" spans="1:11" ht="29.4" x14ac:dyDescent="0.4">
      <c r="A40" s="46">
        <v>39</v>
      </c>
      <c r="B40" s="47">
        <v>1234567929</v>
      </c>
      <c r="C40" s="48" t="s">
        <v>343</v>
      </c>
      <c r="D40" s="48" t="s">
        <v>17</v>
      </c>
      <c r="E40" s="49" t="s">
        <v>344</v>
      </c>
      <c r="F40" s="50">
        <f t="shared" ca="1" si="0"/>
        <v>76</v>
      </c>
      <c r="G40" s="48" t="s">
        <v>31</v>
      </c>
      <c r="H40" s="51" t="s">
        <v>268</v>
      </c>
      <c r="I40" s="54">
        <v>4</v>
      </c>
      <c r="K40"/>
    </row>
    <row r="41" spans="1:11" ht="29.4" x14ac:dyDescent="0.4">
      <c r="A41" s="46">
        <v>40</v>
      </c>
      <c r="B41" s="47">
        <v>1234567930</v>
      </c>
      <c r="C41" s="48" t="s">
        <v>345</v>
      </c>
      <c r="D41" s="48" t="s">
        <v>17</v>
      </c>
      <c r="E41" s="49" t="s">
        <v>346</v>
      </c>
      <c r="F41" s="50">
        <f t="shared" ca="1" si="0"/>
        <v>39</v>
      </c>
      <c r="G41" s="48" t="s">
        <v>32</v>
      </c>
      <c r="H41" s="51" t="s">
        <v>268</v>
      </c>
      <c r="I41" s="54">
        <v>3</v>
      </c>
      <c r="K41"/>
    </row>
    <row r="42" spans="1:11" ht="29.4" x14ac:dyDescent="0.4">
      <c r="A42" s="46">
        <v>41</v>
      </c>
      <c r="B42" s="47">
        <v>1234567931</v>
      </c>
      <c r="C42" s="48" t="s">
        <v>347</v>
      </c>
      <c r="D42" s="48" t="s">
        <v>17</v>
      </c>
      <c r="E42" s="49" t="s">
        <v>348</v>
      </c>
      <c r="F42" s="50">
        <f t="shared" ca="1" si="0"/>
        <v>62</v>
      </c>
      <c r="G42" s="48" t="s">
        <v>31</v>
      </c>
      <c r="H42" s="51" t="s">
        <v>268</v>
      </c>
      <c r="I42" s="54">
        <v>4</v>
      </c>
      <c r="K42"/>
    </row>
    <row r="43" spans="1:11" ht="29.4" x14ac:dyDescent="0.4">
      <c r="A43" s="46">
        <v>42</v>
      </c>
      <c r="B43" s="47">
        <v>1234567932</v>
      </c>
      <c r="C43" s="48" t="s">
        <v>349</v>
      </c>
      <c r="D43" s="48" t="s">
        <v>17</v>
      </c>
      <c r="E43" s="49" t="s">
        <v>350</v>
      </c>
      <c r="F43" s="50">
        <f t="shared" ca="1" si="0"/>
        <v>75</v>
      </c>
      <c r="G43" s="48" t="s">
        <v>32</v>
      </c>
      <c r="H43" s="51" t="s">
        <v>268</v>
      </c>
      <c r="I43" s="54">
        <v>4</v>
      </c>
      <c r="K43"/>
    </row>
    <row r="44" spans="1:11" ht="29.4" x14ac:dyDescent="0.4">
      <c r="A44" s="46">
        <v>43</v>
      </c>
      <c r="B44" s="47">
        <v>1234567933</v>
      </c>
      <c r="C44" s="48" t="s">
        <v>351</v>
      </c>
      <c r="D44" s="48" t="s">
        <v>17</v>
      </c>
      <c r="E44" s="49" t="s">
        <v>352</v>
      </c>
      <c r="F44" s="50">
        <f t="shared" ca="1" si="0"/>
        <v>32</v>
      </c>
      <c r="G44" s="48" t="s">
        <v>31</v>
      </c>
      <c r="H44" s="51" t="s">
        <v>268</v>
      </c>
      <c r="I44" s="54">
        <v>5</v>
      </c>
      <c r="K44"/>
    </row>
    <row r="45" spans="1:11" ht="29.4" x14ac:dyDescent="0.4">
      <c r="A45" s="46">
        <v>44</v>
      </c>
      <c r="B45" s="47">
        <v>1234567934</v>
      </c>
      <c r="C45" s="48" t="s">
        <v>353</v>
      </c>
      <c r="D45" s="48" t="s">
        <v>18</v>
      </c>
      <c r="E45" s="49" t="s">
        <v>354</v>
      </c>
      <c r="F45" s="50">
        <f t="shared" ca="1" si="0"/>
        <v>59</v>
      </c>
      <c r="G45" s="48" t="s">
        <v>31</v>
      </c>
      <c r="H45" s="51" t="s">
        <v>268</v>
      </c>
      <c r="I45" s="54">
        <v>5</v>
      </c>
      <c r="K45"/>
    </row>
    <row r="46" spans="1:11" ht="29.4" x14ac:dyDescent="0.4">
      <c r="A46" s="46">
        <v>45</v>
      </c>
      <c r="B46" s="47">
        <v>1234567935</v>
      </c>
      <c r="C46" s="48" t="s">
        <v>355</v>
      </c>
      <c r="D46" s="48" t="s">
        <v>17</v>
      </c>
      <c r="E46" s="49" t="s">
        <v>356</v>
      </c>
      <c r="F46" s="50">
        <f t="shared" ca="1" si="0"/>
        <v>56</v>
      </c>
      <c r="G46" s="48" t="s">
        <v>32</v>
      </c>
      <c r="H46" s="51" t="s">
        <v>268</v>
      </c>
      <c r="I46" s="54">
        <v>5</v>
      </c>
      <c r="K46"/>
    </row>
    <row r="47" spans="1:11" ht="29.4" x14ac:dyDescent="0.4">
      <c r="A47" s="46">
        <v>46</v>
      </c>
      <c r="B47" s="47">
        <v>1234567936</v>
      </c>
      <c r="C47" s="48" t="s">
        <v>357</v>
      </c>
      <c r="D47" s="48" t="s">
        <v>17</v>
      </c>
      <c r="E47" s="49" t="s">
        <v>358</v>
      </c>
      <c r="F47" s="50">
        <f t="shared" ca="1" si="0"/>
        <v>29</v>
      </c>
      <c r="G47" s="48" t="s">
        <v>31</v>
      </c>
      <c r="H47" s="51" t="s">
        <v>268</v>
      </c>
      <c r="I47" s="54">
        <v>4</v>
      </c>
      <c r="K47"/>
    </row>
    <row r="48" spans="1:11" ht="29.4" x14ac:dyDescent="0.4">
      <c r="A48" s="46">
        <v>47</v>
      </c>
      <c r="B48" s="47">
        <v>1234567937</v>
      </c>
      <c r="C48" s="48" t="s">
        <v>359</v>
      </c>
      <c r="D48" s="48" t="s">
        <v>17</v>
      </c>
      <c r="E48" s="49" t="s">
        <v>360</v>
      </c>
      <c r="F48" s="50">
        <f t="shared" ca="1" si="0"/>
        <v>42</v>
      </c>
      <c r="G48" s="48" t="s">
        <v>31</v>
      </c>
      <c r="H48" s="51" t="s">
        <v>268</v>
      </c>
      <c r="I48" s="54">
        <v>2</v>
      </c>
      <c r="K48"/>
    </row>
    <row r="49" spans="1:11" ht="29.4" x14ac:dyDescent="0.4">
      <c r="A49" s="46">
        <v>48</v>
      </c>
      <c r="B49" s="47">
        <v>1234567938</v>
      </c>
      <c r="C49" s="48" t="s">
        <v>361</v>
      </c>
      <c r="D49" s="48" t="s">
        <v>17</v>
      </c>
      <c r="E49" s="49" t="s">
        <v>362</v>
      </c>
      <c r="F49" s="50">
        <f t="shared" ca="1" si="0"/>
        <v>40</v>
      </c>
      <c r="G49" s="48" t="s">
        <v>32</v>
      </c>
      <c r="H49" s="51" t="s">
        <v>268</v>
      </c>
      <c r="I49" s="54">
        <v>1</v>
      </c>
      <c r="K49"/>
    </row>
    <row r="50" spans="1:11" ht="29.4" x14ac:dyDescent="0.4">
      <c r="A50" s="46">
        <v>49</v>
      </c>
      <c r="B50" s="47">
        <v>1234567939</v>
      </c>
      <c r="C50" s="48" t="s">
        <v>363</v>
      </c>
      <c r="D50" s="48" t="s">
        <v>17</v>
      </c>
      <c r="E50" s="49" t="s">
        <v>364</v>
      </c>
      <c r="F50" s="50">
        <f t="shared" ca="1" si="0"/>
        <v>54</v>
      </c>
      <c r="G50" s="48" t="s">
        <v>32</v>
      </c>
      <c r="H50" s="51" t="s">
        <v>268</v>
      </c>
      <c r="I50" s="54">
        <v>2</v>
      </c>
      <c r="K50"/>
    </row>
    <row r="51" spans="1:11" ht="29.4" x14ac:dyDescent="0.4">
      <c r="A51" s="46">
        <v>50</v>
      </c>
      <c r="B51" s="47">
        <v>1234567940</v>
      </c>
      <c r="C51" s="48" t="s">
        <v>365</v>
      </c>
      <c r="D51" s="48" t="s">
        <v>18</v>
      </c>
      <c r="E51" s="49" t="s">
        <v>366</v>
      </c>
      <c r="F51" s="50">
        <f t="shared" ca="1" si="0"/>
        <v>59</v>
      </c>
      <c r="G51" s="48" t="s">
        <v>31</v>
      </c>
      <c r="H51" s="51" t="s">
        <v>268</v>
      </c>
      <c r="I51" s="54">
        <v>4</v>
      </c>
      <c r="K51"/>
    </row>
    <row r="52" spans="1:11" ht="29.4" x14ac:dyDescent="0.4">
      <c r="A52" s="46">
        <v>51</v>
      </c>
      <c r="B52" s="47">
        <v>1234567941</v>
      </c>
      <c r="C52" s="48" t="s">
        <v>367</v>
      </c>
      <c r="D52" s="48" t="s">
        <v>17</v>
      </c>
      <c r="E52" s="49" t="s">
        <v>368</v>
      </c>
      <c r="F52" s="50">
        <f t="shared" ca="1" si="0"/>
        <v>44</v>
      </c>
      <c r="G52" s="48" t="s">
        <v>31</v>
      </c>
      <c r="H52" s="51" t="s">
        <v>268</v>
      </c>
      <c r="I52" s="54">
        <v>1</v>
      </c>
      <c r="K52"/>
    </row>
    <row r="53" spans="1:11" ht="29.4" x14ac:dyDescent="0.4">
      <c r="A53" s="46">
        <v>52</v>
      </c>
      <c r="B53" s="47">
        <v>1234567942</v>
      </c>
      <c r="C53" s="48" t="s">
        <v>369</v>
      </c>
      <c r="D53" s="48" t="s">
        <v>17</v>
      </c>
      <c r="E53" s="49" t="s">
        <v>370</v>
      </c>
      <c r="F53" s="50">
        <f t="shared" ca="1" si="0"/>
        <v>54</v>
      </c>
      <c r="G53" s="48" t="s">
        <v>32</v>
      </c>
      <c r="H53" s="51" t="s">
        <v>268</v>
      </c>
      <c r="I53" s="54">
        <v>2</v>
      </c>
      <c r="K53"/>
    </row>
    <row r="54" spans="1:11" ht="29.4" x14ac:dyDescent="0.4">
      <c r="A54" s="46">
        <v>53</v>
      </c>
      <c r="B54" s="47">
        <v>1234567943</v>
      </c>
      <c r="C54" s="48" t="s">
        <v>371</v>
      </c>
      <c r="D54" s="48" t="s">
        <v>17</v>
      </c>
      <c r="E54" s="49" t="s">
        <v>372</v>
      </c>
      <c r="F54" s="50">
        <f t="shared" ca="1" si="0"/>
        <v>91</v>
      </c>
      <c r="G54" s="48" t="s">
        <v>32</v>
      </c>
      <c r="H54" s="51" t="s">
        <v>268</v>
      </c>
      <c r="I54" s="54">
        <v>4</v>
      </c>
      <c r="K54"/>
    </row>
    <row r="55" spans="1:11" ht="29.4" x14ac:dyDescent="0.4">
      <c r="A55" s="46">
        <v>54</v>
      </c>
      <c r="B55" s="47">
        <v>1234567944</v>
      </c>
      <c r="C55" s="48" t="s">
        <v>373</v>
      </c>
      <c r="D55" s="48" t="s">
        <v>214</v>
      </c>
      <c r="E55" s="49" t="s">
        <v>374</v>
      </c>
      <c r="F55" s="50">
        <f t="shared" ca="1" si="0"/>
        <v>44</v>
      </c>
      <c r="G55" s="48" t="s">
        <v>32</v>
      </c>
      <c r="H55" s="51" t="s">
        <v>268</v>
      </c>
      <c r="I55" s="54">
        <v>3</v>
      </c>
      <c r="K55"/>
    </row>
    <row r="56" spans="1:11" ht="29.4" x14ac:dyDescent="0.4">
      <c r="A56" s="46">
        <v>55</v>
      </c>
      <c r="B56" s="47">
        <v>1234567945</v>
      </c>
      <c r="C56" s="48" t="s">
        <v>375</v>
      </c>
      <c r="D56" s="48" t="s">
        <v>17</v>
      </c>
      <c r="E56" s="49" t="s">
        <v>376</v>
      </c>
      <c r="F56" s="50">
        <f t="shared" ca="1" si="0"/>
        <v>28</v>
      </c>
      <c r="G56" s="48" t="s">
        <v>31</v>
      </c>
      <c r="H56" s="51" t="s">
        <v>268</v>
      </c>
      <c r="I56" s="54">
        <v>3</v>
      </c>
      <c r="K56"/>
    </row>
    <row r="57" spans="1:11" ht="29.4" x14ac:dyDescent="0.4">
      <c r="A57" s="46">
        <v>56</v>
      </c>
      <c r="B57" s="47">
        <v>1234567946</v>
      </c>
      <c r="C57" s="48" t="s">
        <v>377</v>
      </c>
      <c r="D57" s="48" t="s">
        <v>17</v>
      </c>
      <c r="E57" s="49" t="s">
        <v>378</v>
      </c>
      <c r="F57" s="50">
        <f t="shared" ca="1" si="0"/>
        <v>63</v>
      </c>
      <c r="G57" s="48" t="s">
        <v>32</v>
      </c>
      <c r="H57" s="51" t="s">
        <v>268</v>
      </c>
      <c r="I57" s="54">
        <v>5</v>
      </c>
      <c r="K57"/>
    </row>
    <row r="58" spans="1:11" ht="29.4" x14ac:dyDescent="0.4">
      <c r="A58" s="46">
        <v>57</v>
      </c>
      <c r="B58" s="47">
        <v>1234567947</v>
      </c>
      <c r="C58" s="48" t="s">
        <v>379</v>
      </c>
      <c r="D58" s="48" t="s">
        <v>17</v>
      </c>
      <c r="E58" s="49" t="s">
        <v>380</v>
      </c>
      <c r="F58" s="50">
        <f t="shared" ca="1" si="0"/>
        <v>88</v>
      </c>
      <c r="G58" s="48" t="s">
        <v>32</v>
      </c>
      <c r="H58" s="51" t="s">
        <v>268</v>
      </c>
      <c r="I58" s="54">
        <v>2</v>
      </c>
      <c r="K58"/>
    </row>
    <row r="59" spans="1:11" ht="29.4" x14ac:dyDescent="0.4">
      <c r="A59" s="46">
        <v>58</v>
      </c>
      <c r="B59" s="47">
        <v>1234567948</v>
      </c>
      <c r="C59" s="48" t="s">
        <v>381</v>
      </c>
      <c r="D59" s="48" t="s">
        <v>17</v>
      </c>
      <c r="E59" s="49" t="s">
        <v>382</v>
      </c>
      <c r="F59" s="50">
        <f t="shared" ca="1" si="0"/>
        <v>45</v>
      </c>
      <c r="G59" s="48" t="s">
        <v>31</v>
      </c>
      <c r="H59" s="51" t="s">
        <v>268</v>
      </c>
      <c r="I59" s="54">
        <v>5</v>
      </c>
      <c r="K59"/>
    </row>
    <row r="60" spans="1:11" ht="29.4" x14ac:dyDescent="0.4">
      <c r="A60" s="46">
        <v>59</v>
      </c>
      <c r="B60" s="47">
        <v>1234567949</v>
      </c>
      <c r="C60" s="48" t="s">
        <v>383</v>
      </c>
      <c r="D60" s="48" t="s">
        <v>17</v>
      </c>
      <c r="E60" s="49" t="s">
        <v>384</v>
      </c>
      <c r="F60" s="50">
        <f t="shared" ca="1" si="0"/>
        <v>45</v>
      </c>
      <c r="G60" s="48" t="s">
        <v>31</v>
      </c>
      <c r="H60" s="51" t="s">
        <v>268</v>
      </c>
      <c r="I60" s="54">
        <v>3</v>
      </c>
      <c r="K60"/>
    </row>
    <row r="61" spans="1:11" ht="29.4" x14ac:dyDescent="0.4">
      <c r="A61" s="46">
        <v>60</v>
      </c>
      <c r="B61" s="47">
        <v>1234567950</v>
      </c>
      <c r="C61" s="48" t="s">
        <v>385</v>
      </c>
      <c r="D61" s="48" t="s">
        <v>17</v>
      </c>
      <c r="E61" s="49" t="s">
        <v>386</v>
      </c>
      <c r="F61" s="50">
        <f t="shared" ca="1" si="0"/>
        <v>46</v>
      </c>
      <c r="G61" s="48" t="s">
        <v>32</v>
      </c>
      <c r="H61" s="51" t="s">
        <v>268</v>
      </c>
      <c r="I61" s="54">
        <v>3</v>
      </c>
      <c r="K61"/>
    </row>
    <row r="62" spans="1:11" ht="29.4" x14ac:dyDescent="0.4">
      <c r="A62" s="46">
        <v>61</v>
      </c>
      <c r="B62" s="47">
        <v>1234567951</v>
      </c>
      <c r="C62" s="48" t="s">
        <v>387</v>
      </c>
      <c r="D62" s="48" t="s">
        <v>17</v>
      </c>
      <c r="E62" s="49" t="s">
        <v>388</v>
      </c>
      <c r="F62" s="50">
        <f t="shared" ca="1" si="0"/>
        <v>37</v>
      </c>
      <c r="G62" s="48" t="s">
        <v>31</v>
      </c>
      <c r="H62" s="51" t="s">
        <v>268</v>
      </c>
      <c r="I62" s="54">
        <v>3</v>
      </c>
      <c r="K62"/>
    </row>
    <row r="63" spans="1:11" ht="29.4" x14ac:dyDescent="0.4">
      <c r="A63" s="46">
        <v>62</v>
      </c>
      <c r="B63" s="47">
        <v>1234567952</v>
      </c>
      <c r="C63" s="48" t="s">
        <v>389</v>
      </c>
      <c r="D63" s="48" t="s">
        <v>17</v>
      </c>
      <c r="E63" s="49" t="s">
        <v>390</v>
      </c>
      <c r="F63" s="50">
        <f t="shared" ca="1" si="0"/>
        <v>65</v>
      </c>
      <c r="G63" s="48" t="s">
        <v>31</v>
      </c>
      <c r="H63" s="51" t="s">
        <v>268</v>
      </c>
      <c r="I63" s="54">
        <v>5</v>
      </c>
      <c r="K63"/>
    </row>
    <row r="64" spans="1:11" ht="29.4" x14ac:dyDescent="0.4">
      <c r="A64" s="46">
        <v>63</v>
      </c>
      <c r="B64" s="47">
        <v>1234567953</v>
      </c>
      <c r="C64" s="48" t="s">
        <v>391</v>
      </c>
      <c r="D64" s="48" t="s">
        <v>17</v>
      </c>
      <c r="E64" s="49" t="s">
        <v>392</v>
      </c>
      <c r="F64" s="50">
        <f t="shared" ca="1" si="0"/>
        <v>57</v>
      </c>
      <c r="G64" s="48" t="s">
        <v>32</v>
      </c>
      <c r="H64" s="51" t="s">
        <v>268</v>
      </c>
      <c r="I64" s="54">
        <v>3</v>
      </c>
      <c r="K64"/>
    </row>
    <row r="65" spans="1:11" ht="29.4" x14ac:dyDescent="0.4">
      <c r="A65" s="46">
        <v>64</v>
      </c>
      <c r="B65" s="47">
        <v>1234567954</v>
      </c>
      <c r="C65" s="48" t="s">
        <v>393</v>
      </c>
      <c r="D65" s="48" t="s">
        <v>17</v>
      </c>
      <c r="E65" s="49" t="s">
        <v>394</v>
      </c>
      <c r="F65" s="50">
        <f t="shared" ca="1" si="0"/>
        <v>58</v>
      </c>
      <c r="G65" s="48" t="s">
        <v>31</v>
      </c>
      <c r="H65" s="51" t="s">
        <v>268</v>
      </c>
      <c r="I65" s="54">
        <v>2</v>
      </c>
      <c r="K65"/>
    </row>
    <row r="66" spans="1:11" ht="29.4" x14ac:dyDescent="0.4">
      <c r="A66" s="46">
        <v>65</v>
      </c>
      <c r="B66" s="47">
        <v>1234567955</v>
      </c>
      <c r="C66" s="48" t="s">
        <v>395</v>
      </c>
      <c r="D66" s="48" t="s">
        <v>17</v>
      </c>
      <c r="E66" s="49" t="s">
        <v>396</v>
      </c>
      <c r="F66" s="50">
        <f t="shared" ca="1" si="0"/>
        <v>59</v>
      </c>
      <c r="G66" s="48" t="s">
        <v>32</v>
      </c>
      <c r="H66" s="51" t="s">
        <v>268</v>
      </c>
      <c r="I66" s="54">
        <v>2</v>
      </c>
      <c r="K66"/>
    </row>
    <row r="67" spans="1:11" ht="29.4" x14ac:dyDescent="0.4">
      <c r="A67" s="46">
        <v>66</v>
      </c>
      <c r="B67" s="47">
        <v>1234567956</v>
      </c>
      <c r="C67" s="48" t="s">
        <v>397</v>
      </c>
      <c r="D67" s="48" t="s">
        <v>17</v>
      </c>
      <c r="E67" s="49" t="s">
        <v>398</v>
      </c>
      <c r="F67" s="50">
        <f t="shared" ref="F67:F130" ca="1" si="1">DATEDIF(E67,TODAY(),"Y")</f>
        <v>35</v>
      </c>
      <c r="G67" s="48" t="s">
        <v>31</v>
      </c>
      <c r="H67" s="51" t="s">
        <v>268</v>
      </c>
      <c r="I67" s="54">
        <v>2</v>
      </c>
      <c r="K67"/>
    </row>
    <row r="68" spans="1:11" ht="29.4" x14ac:dyDescent="0.4">
      <c r="A68" s="46">
        <v>67</v>
      </c>
      <c r="B68" s="47">
        <v>1234567957</v>
      </c>
      <c r="C68" s="48" t="s">
        <v>399</v>
      </c>
      <c r="D68" s="48" t="s">
        <v>17</v>
      </c>
      <c r="E68" s="49" t="s">
        <v>400</v>
      </c>
      <c r="F68" s="50">
        <f t="shared" ca="1" si="1"/>
        <v>70</v>
      </c>
      <c r="G68" s="48" t="s">
        <v>31</v>
      </c>
      <c r="H68" s="51" t="s">
        <v>268</v>
      </c>
      <c r="I68" s="54">
        <v>3</v>
      </c>
      <c r="K68"/>
    </row>
    <row r="69" spans="1:11" ht="29.4" x14ac:dyDescent="0.4">
      <c r="A69" s="46">
        <v>68</v>
      </c>
      <c r="B69" s="47">
        <v>1234567958</v>
      </c>
      <c r="C69" s="48" t="s">
        <v>401</v>
      </c>
      <c r="D69" s="48" t="s">
        <v>17</v>
      </c>
      <c r="E69" s="49" t="s">
        <v>402</v>
      </c>
      <c r="F69" s="50">
        <f t="shared" ca="1" si="1"/>
        <v>40</v>
      </c>
      <c r="G69" s="48" t="s">
        <v>31</v>
      </c>
      <c r="H69" s="51" t="s">
        <v>268</v>
      </c>
      <c r="I69" s="54">
        <v>1</v>
      </c>
      <c r="K69"/>
    </row>
    <row r="70" spans="1:11" ht="29.4" x14ac:dyDescent="0.4">
      <c r="A70" s="46">
        <v>69</v>
      </c>
      <c r="B70" s="47">
        <v>1234567959</v>
      </c>
      <c r="C70" s="48" t="s">
        <v>403</v>
      </c>
      <c r="D70" s="48" t="s">
        <v>17</v>
      </c>
      <c r="E70" s="49" t="s">
        <v>404</v>
      </c>
      <c r="F70" s="50">
        <f t="shared" ca="1" si="1"/>
        <v>76</v>
      </c>
      <c r="G70" s="48" t="s">
        <v>32</v>
      </c>
      <c r="H70" s="51" t="s">
        <v>268</v>
      </c>
      <c r="I70" s="54">
        <v>3</v>
      </c>
      <c r="K70"/>
    </row>
    <row r="71" spans="1:11" ht="29.4" x14ac:dyDescent="0.4">
      <c r="A71" s="46">
        <v>70</v>
      </c>
      <c r="B71" s="47">
        <v>1234567960</v>
      </c>
      <c r="C71" s="48" t="s">
        <v>405</v>
      </c>
      <c r="D71" s="48" t="s">
        <v>17</v>
      </c>
      <c r="E71" s="49" t="s">
        <v>406</v>
      </c>
      <c r="F71" s="50">
        <f t="shared" ca="1" si="1"/>
        <v>29</v>
      </c>
      <c r="G71" s="48" t="s">
        <v>31</v>
      </c>
      <c r="H71" s="51" t="s">
        <v>268</v>
      </c>
      <c r="I71" s="54">
        <v>2</v>
      </c>
      <c r="K71"/>
    </row>
    <row r="72" spans="1:11" ht="29.4" x14ac:dyDescent="0.4">
      <c r="A72" s="46">
        <v>71</v>
      </c>
      <c r="B72" s="47">
        <v>1234567961</v>
      </c>
      <c r="C72" s="48" t="s">
        <v>407</v>
      </c>
      <c r="D72" s="48" t="s">
        <v>17</v>
      </c>
      <c r="E72" s="49" t="s">
        <v>408</v>
      </c>
      <c r="F72" s="50">
        <f t="shared" ca="1" si="1"/>
        <v>69</v>
      </c>
      <c r="G72" s="48" t="s">
        <v>31</v>
      </c>
      <c r="H72" s="51" t="s">
        <v>268</v>
      </c>
      <c r="I72" s="54">
        <v>4</v>
      </c>
      <c r="K72"/>
    </row>
    <row r="73" spans="1:11" ht="29.4" x14ac:dyDescent="0.4">
      <c r="A73" s="46">
        <v>72</v>
      </c>
      <c r="B73" s="47">
        <v>1234567962</v>
      </c>
      <c r="C73" s="48" t="s">
        <v>409</v>
      </c>
      <c r="D73" s="48" t="s">
        <v>17</v>
      </c>
      <c r="E73" s="49" t="s">
        <v>410</v>
      </c>
      <c r="F73" s="50">
        <f t="shared" ca="1" si="1"/>
        <v>67</v>
      </c>
      <c r="G73" s="48" t="s">
        <v>32</v>
      </c>
      <c r="H73" s="51" t="s">
        <v>268</v>
      </c>
      <c r="I73" s="54">
        <v>2</v>
      </c>
      <c r="K73"/>
    </row>
    <row r="74" spans="1:11" ht="29.4" x14ac:dyDescent="0.4">
      <c r="A74" s="46">
        <v>73</v>
      </c>
      <c r="B74" s="47">
        <v>1234567963</v>
      </c>
      <c r="C74" s="48" t="s">
        <v>411</v>
      </c>
      <c r="D74" s="48" t="s">
        <v>17</v>
      </c>
      <c r="E74" s="49" t="s">
        <v>412</v>
      </c>
      <c r="F74" s="50">
        <f t="shared" ca="1" si="1"/>
        <v>42</v>
      </c>
      <c r="G74" s="48" t="s">
        <v>32</v>
      </c>
      <c r="H74" s="51" t="s">
        <v>268</v>
      </c>
      <c r="I74" s="54">
        <v>3</v>
      </c>
      <c r="K74"/>
    </row>
    <row r="75" spans="1:11" ht="29.4" x14ac:dyDescent="0.4">
      <c r="A75" s="46">
        <v>74</v>
      </c>
      <c r="B75" s="47">
        <v>1234567964</v>
      </c>
      <c r="C75" s="48" t="s">
        <v>413</v>
      </c>
      <c r="D75" s="48" t="s">
        <v>17</v>
      </c>
      <c r="E75" s="49" t="s">
        <v>414</v>
      </c>
      <c r="F75" s="50">
        <f t="shared" ca="1" si="1"/>
        <v>42</v>
      </c>
      <c r="G75" s="48" t="s">
        <v>32</v>
      </c>
      <c r="H75" s="51" t="s">
        <v>268</v>
      </c>
      <c r="I75" s="54">
        <v>1</v>
      </c>
      <c r="K75"/>
    </row>
    <row r="76" spans="1:11" ht="29.4" x14ac:dyDescent="0.4">
      <c r="A76" s="46">
        <v>75</v>
      </c>
      <c r="B76" s="47">
        <v>1234567965</v>
      </c>
      <c r="C76" s="48" t="s">
        <v>415</v>
      </c>
      <c r="D76" s="48" t="s">
        <v>17</v>
      </c>
      <c r="E76" s="49" t="s">
        <v>416</v>
      </c>
      <c r="F76" s="50">
        <f t="shared" ca="1" si="1"/>
        <v>68</v>
      </c>
      <c r="G76" s="48" t="s">
        <v>32</v>
      </c>
      <c r="H76" s="51" t="s">
        <v>268</v>
      </c>
      <c r="I76" s="54">
        <v>4</v>
      </c>
      <c r="K76"/>
    </row>
    <row r="77" spans="1:11" ht="29.4" x14ac:dyDescent="0.4">
      <c r="A77" s="46">
        <v>76</v>
      </c>
      <c r="B77" s="47">
        <v>1234567966</v>
      </c>
      <c r="C77" s="48" t="s">
        <v>417</v>
      </c>
      <c r="D77" s="48" t="s">
        <v>17</v>
      </c>
      <c r="E77" s="49" t="s">
        <v>418</v>
      </c>
      <c r="F77" s="50">
        <f t="shared" ca="1" si="1"/>
        <v>73</v>
      </c>
      <c r="G77" s="48" t="s">
        <v>31</v>
      </c>
      <c r="H77" s="51" t="s">
        <v>268</v>
      </c>
      <c r="I77" s="54">
        <v>2</v>
      </c>
      <c r="K77"/>
    </row>
    <row r="78" spans="1:11" ht="29.4" x14ac:dyDescent="0.4">
      <c r="A78" s="46">
        <v>77</v>
      </c>
      <c r="B78" s="47">
        <v>1234567967</v>
      </c>
      <c r="C78" s="48" t="s">
        <v>419</v>
      </c>
      <c r="D78" s="48" t="s">
        <v>17</v>
      </c>
      <c r="E78" s="49" t="s">
        <v>420</v>
      </c>
      <c r="F78" s="50">
        <f t="shared" ca="1" si="1"/>
        <v>75</v>
      </c>
      <c r="G78" s="48" t="s">
        <v>32</v>
      </c>
      <c r="H78" s="51" t="s">
        <v>268</v>
      </c>
      <c r="I78" s="54">
        <v>1</v>
      </c>
      <c r="K78"/>
    </row>
    <row r="79" spans="1:11" ht="29.4" x14ac:dyDescent="0.4">
      <c r="A79" s="46">
        <v>78</v>
      </c>
      <c r="B79" s="47">
        <v>1234567968</v>
      </c>
      <c r="C79" s="48" t="s">
        <v>421</v>
      </c>
      <c r="D79" s="48" t="s">
        <v>17</v>
      </c>
      <c r="E79" s="49" t="s">
        <v>422</v>
      </c>
      <c r="F79" s="50">
        <f t="shared" ca="1" si="1"/>
        <v>62</v>
      </c>
      <c r="G79" s="48" t="s">
        <v>32</v>
      </c>
      <c r="H79" s="51" t="s">
        <v>268</v>
      </c>
      <c r="I79" s="54">
        <v>4</v>
      </c>
      <c r="K79"/>
    </row>
    <row r="80" spans="1:11" ht="29.4" x14ac:dyDescent="0.4">
      <c r="A80" s="46">
        <v>79</v>
      </c>
      <c r="B80" s="47">
        <v>1234567969</v>
      </c>
      <c r="C80" s="48" t="s">
        <v>423</v>
      </c>
      <c r="D80" s="48" t="s">
        <v>17</v>
      </c>
      <c r="E80" s="49" t="s">
        <v>424</v>
      </c>
      <c r="F80" s="50">
        <f t="shared" ca="1" si="1"/>
        <v>48</v>
      </c>
      <c r="G80" s="48" t="s">
        <v>31</v>
      </c>
      <c r="H80" s="51" t="s">
        <v>268</v>
      </c>
      <c r="I80" s="54">
        <v>3</v>
      </c>
      <c r="K80"/>
    </row>
    <row r="81" spans="1:11" ht="29.4" x14ac:dyDescent="0.4">
      <c r="A81" s="46">
        <v>80</v>
      </c>
      <c r="B81" s="47">
        <v>1234567970</v>
      </c>
      <c r="C81" s="48" t="s">
        <v>425</v>
      </c>
      <c r="D81" s="48" t="s">
        <v>17</v>
      </c>
      <c r="E81" s="49" t="s">
        <v>426</v>
      </c>
      <c r="F81" s="50">
        <f t="shared" ca="1" si="1"/>
        <v>48</v>
      </c>
      <c r="G81" s="48" t="s">
        <v>31</v>
      </c>
      <c r="H81" s="51" t="s">
        <v>268</v>
      </c>
      <c r="I81" s="54">
        <v>2</v>
      </c>
      <c r="K81"/>
    </row>
    <row r="82" spans="1:11" ht="29.4" x14ac:dyDescent="0.4">
      <c r="A82" s="46">
        <v>81</v>
      </c>
      <c r="B82" s="47">
        <v>1234567971</v>
      </c>
      <c r="C82" s="48" t="s">
        <v>427</v>
      </c>
      <c r="D82" s="48" t="s">
        <v>17</v>
      </c>
      <c r="E82" s="49" t="s">
        <v>428</v>
      </c>
      <c r="F82" s="50">
        <f t="shared" ca="1" si="1"/>
        <v>58</v>
      </c>
      <c r="G82" s="48" t="s">
        <v>32</v>
      </c>
      <c r="H82" s="51" t="s">
        <v>268</v>
      </c>
      <c r="I82" s="54">
        <v>2</v>
      </c>
      <c r="K82"/>
    </row>
    <row r="83" spans="1:11" ht="29.4" x14ac:dyDescent="0.4">
      <c r="A83" s="46">
        <v>82</v>
      </c>
      <c r="B83" s="47">
        <v>1234567972</v>
      </c>
      <c r="C83" s="48" t="s">
        <v>429</v>
      </c>
      <c r="D83" s="48" t="s">
        <v>17</v>
      </c>
      <c r="E83" s="49" t="s">
        <v>430</v>
      </c>
      <c r="F83" s="50">
        <f t="shared" ca="1" si="1"/>
        <v>37</v>
      </c>
      <c r="G83" s="48" t="s">
        <v>32</v>
      </c>
      <c r="H83" s="51" t="s">
        <v>268</v>
      </c>
      <c r="I83" s="54">
        <v>3</v>
      </c>
      <c r="K83"/>
    </row>
    <row r="84" spans="1:11" ht="29.4" x14ac:dyDescent="0.4">
      <c r="A84" s="46">
        <v>83</v>
      </c>
      <c r="B84" s="47">
        <v>1234567973</v>
      </c>
      <c r="C84" s="48" t="s">
        <v>431</v>
      </c>
      <c r="D84" s="48" t="s">
        <v>17</v>
      </c>
      <c r="E84" s="49" t="s">
        <v>432</v>
      </c>
      <c r="F84" s="50">
        <f t="shared" ca="1" si="1"/>
        <v>61</v>
      </c>
      <c r="G84" s="48" t="s">
        <v>31</v>
      </c>
      <c r="H84" s="51" t="s">
        <v>268</v>
      </c>
      <c r="I84" s="54">
        <v>3</v>
      </c>
      <c r="K84"/>
    </row>
    <row r="85" spans="1:11" ht="29.4" x14ac:dyDescent="0.4">
      <c r="A85" s="46">
        <v>84</v>
      </c>
      <c r="B85" s="47">
        <v>1234567974</v>
      </c>
      <c r="C85" s="48" t="s">
        <v>433</v>
      </c>
      <c r="D85" s="48" t="s">
        <v>17</v>
      </c>
      <c r="E85" s="49" t="s">
        <v>434</v>
      </c>
      <c r="F85" s="50">
        <f t="shared" ca="1" si="1"/>
        <v>48</v>
      </c>
      <c r="G85" s="48" t="s">
        <v>32</v>
      </c>
      <c r="H85" s="51" t="s">
        <v>268</v>
      </c>
      <c r="I85" s="54">
        <v>3</v>
      </c>
      <c r="K85"/>
    </row>
    <row r="86" spans="1:11" ht="29.4" x14ac:dyDescent="0.4">
      <c r="A86" s="46">
        <v>85</v>
      </c>
      <c r="B86" s="47">
        <v>1234567975</v>
      </c>
      <c r="C86" s="48" t="s">
        <v>435</v>
      </c>
      <c r="D86" s="48" t="s">
        <v>17</v>
      </c>
      <c r="E86" s="49" t="s">
        <v>436</v>
      </c>
      <c r="F86" s="50">
        <f t="shared" ca="1" si="1"/>
        <v>36</v>
      </c>
      <c r="G86" s="48" t="s">
        <v>31</v>
      </c>
      <c r="H86" s="51" t="s">
        <v>268</v>
      </c>
      <c r="I86" s="54">
        <v>2</v>
      </c>
      <c r="K86"/>
    </row>
    <row r="87" spans="1:11" ht="29.4" x14ac:dyDescent="0.4">
      <c r="A87" s="46">
        <v>86</v>
      </c>
      <c r="B87" s="47">
        <v>1234567976</v>
      </c>
      <c r="C87" s="48" t="s">
        <v>437</v>
      </c>
      <c r="D87" s="48" t="s">
        <v>17</v>
      </c>
      <c r="E87" s="49" t="s">
        <v>438</v>
      </c>
      <c r="F87" s="50">
        <f t="shared" ca="1" si="1"/>
        <v>57</v>
      </c>
      <c r="G87" s="48" t="s">
        <v>31</v>
      </c>
      <c r="H87" s="51" t="s">
        <v>268</v>
      </c>
      <c r="I87" s="54">
        <v>2</v>
      </c>
      <c r="K87"/>
    </row>
    <row r="88" spans="1:11" ht="29.4" x14ac:dyDescent="0.4">
      <c r="A88" s="46">
        <v>87</v>
      </c>
      <c r="B88" s="47">
        <v>1234567977</v>
      </c>
      <c r="C88" s="48" t="s">
        <v>439</v>
      </c>
      <c r="D88" s="48" t="s">
        <v>17</v>
      </c>
      <c r="E88" s="49" t="s">
        <v>440</v>
      </c>
      <c r="F88" s="50">
        <f t="shared" ca="1" si="1"/>
        <v>35</v>
      </c>
      <c r="G88" s="48" t="s">
        <v>32</v>
      </c>
      <c r="H88" s="51" t="s">
        <v>268</v>
      </c>
      <c r="I88" s="54">
        <v>3</v>
      </c>
      <c r="K88"/>
    </row>
    <row r="89" spans="1:11" ht="29.4" x14ac:dyDescent="0.4">
      <c r="A89" s="46">
        <v>88</v>
      </c>
      <c r="B89" s="47">
        <v>1234567978</v>
      </c>
      <c r="C89" s="48" t="s">
        <v>441</v>
      </c>
      <c r="D89" s="48" t="s">
        <v>17</v>
      </c>
      <c r="E89" s="49" t="s">
        <v>442</v>
      </c>
      <c r="F89" s="50">
        <f t="shared" ca="1" si="1"/>
        <v>61</v>
      </c>
      <c r="G89" s="48" t="s">
        <v>32</v>
      </c>
      <c r="H89" s="51" t="s">
        <v>268</v>
      </c>
      <c r="I89" s="54">
        <v>4</v>
      </c>
      <c r="K89"/>
    </row>
    <row r="90" spans="1:11" ht="29.4" x14ac:dyDescent="0.4">
      <c r="A90" s="46">
        <v>89</v>
      </c>
      <c r="B90" s="47">
        <v>1234567979</v>
      </c>
      <c r="C90" s="48" t="s">
        <v>443</v>
      </c>
      <c r="D90" s="48" t="s">
        <v>17</v>
      </c>
      <c r="E90" s="49" t="s">
        <v>444</v>
      </c>
      <c r="F90" s="50">
        <f t="shared" ca="1" si="1"/>
        <v>68</v>
      </c>
      <c r="G90" s="48" t="s">
        <v>31</v>
      </c>
      <c r="H90" s="51" t="s">
        <v>268</v>
      </c>
      <c r="I90" s="54">
        <v>5</v>
      </c>
      <c r="K90"/>
    </row>
    <row r="91" spans="1:11" ht="29.4" x14ac:dyDescent="0.4">
      <c r="A91" s="46">
        <v>90</v>
      </c>
      <c r="B91" s="47">
        <v>1234567980</v>
      </c>
      <c r="C91" s="48" t="s">
        <v>445</v>
      </c>
      <c r="D91" s="48" t="s">
        <v>17</v>
      </c>
      <c r="E91" s="49" t="s">
        <v>446</v>
      </c>
      <c r="F91" s="50">
        <f t="shared" ca="1" si="1"/>
        <v>39</v>
      </c>
      <c r="G91" s="48" t="s">
        <v>32</v>
      </c>
      <c r="H91" s="51" t="s">
        <v>268</v>
      </c>
      <c r="I91" s="54">
        <v>3</v>
      </c>
      <c r="K91"/>
    </row>
    <row r="92" spans="1:11" ht="29.4" x14ac:dyDescent="0.4">
      <c r="A92" s="46">
        <v>91</v>
      </c>
      <c r="B92" s="47">
        <v>1234567981</v>
      </c>
      <c r="C92" s="48" t="s">
        <v>447</v>
      </c>
      <c r="D92" s="48" t="s">
        <v>17</v>
      </c>
      <c r="E92" s="49" t="s">
        <v>448</v>
      </c>
      <c r="F92" s="50">
        <f t="shared" ca="1" si="1"/>
        <v>57</v>
      </c>
      <c r="G92" s="48" t="s">
        <v>31</v>
      </c>
      <c r="H92" s="51" t="s">
        <v>268</v>
      </c>
      <c r="I92" s="54">
        <v>1</v>
      </c>
      <c r="K92"/>
    </row>
    <row r="93" spans="1:11" ht="29.4" x14ac:dyDescent="0.4">
      <c r="A93" s="46">
        <v>92</v>
      </c>
      <c r="B93" s="47">
        <v>1234567982</v>
      </c>
      <c r="C93" s="48" t="s">
        <v>449</v>
      </c>
      <c r="D93" s="48" t="s">
        <v>17</v>
      </c>
      <c r="E93" s="49" t="s">
        <v>450</v>
      </c>
      <c r="F93" s="50">
        <f t="shared" ca="1" si="1"/>
        <v>33</v>
      </c>
      <c r="G93" s="48" t="s">
        <v>31</v>
      </c>
      <c r="H93" s="51" t="s">
        <v>268</v>
      </c>
      <c r="I93" s="54">
        <v>4</v>
      </c>
      <c r="K93"/>
    </row>
    <row r="94" spans="1:11" ht="29.4" x14ac:dyDescent="0.4">
      <c r="A94" s="46">
        <v>93</v>
      </c>
      <c r="B94" s="47">
        <v>1234567983</v>
      </c>
      <c r="C94" s="48" t="s">
        <v>451</v>
      </c>
      <c r="D94" s="48" t="s">
        <v>17</v>
      </c>
      <c r="E94" s="49" t="s">
        <v>452</v>
      </c>
      <c r="F94" s="50">
        <f t="shared" ca="1" si="1"/>
        <v>34</v>
      </c>
      <c r="G94" s="48" t="s">
        <v>31</v>
      </c>
      <c r="H94" s="51" t="s">
        <v>268</v>
      </c>
      <c r="I94" s="54">
        <v>3</v>
      </c>
      <c r="K94"/>
    </row>
    <row r="95" spans="1:11" ht="29.4" x14ac:dyDescent="0.4">
      <c r="A95" s="46">
        <v>94</v>
      </c>
      <c r="B95" s="47">
        <v>1234567984</v>
      </c>
      <c r="C95" s="48" t="s">
        <v>453</v>
      </c>
      <c r="D95" s="48" t="s">
        <v>17</v>
      </c>
      <c r="E95" s="49" t="s">
        <v>454</v>
      </c>
      <c r="F95" s="50">
        <f t="shared" ca="1" si="1"/>
        <v>66</v>
      </c>
      <c r="G95" s="48" t="s">
        <v>32</v>
      </c>
      <c r="H95" s="51" t="s">
        <v>268</v>
      </c>
      <c r="I95" s="54">
        <v>4</v>
      </c>
      <c r="K95"/>
    </row>
    <row r="96" spans="1:11" ht="29.4" x14ac:dyDescent="0.4">
      <c r="A96" s="46">
        <v>95</v>
      </c>
      <c r="B96" s="47">
        <v>1234567985</v>
      </c>
      <c r="C96" s="48" t="s">
        <v>455</v>
      </c>
      <c r="D96" s="48" t="s">
        <v>17</v>
      </c>
      <c r="E96" s="49" t="s">
        <v>456</v>
      </c>
      <c r="F96" s="50">
        <f t="shared" ca="1" si="1"/>
        <v>35</v>
      </c>
      <c r="G96" s="48" t="s">
        <v>31</v>
      </c>
      <c r="H96" s="51" t="s">
        <v>268</v>
      </c>
      <c r="I96" s="54">
        <v>5</v>
      </c>
      <c r="K96"/>
    </row>
    <row r="97" spans="1:11" ht="29.4" x14ac:dyDescent="0.4">
      <c r="A97" s="46">
        <v>96</v>
      </c>
      <c r="B97" s="47">
        <v>1234567986</v>
      </c>
      <c r="C97" s="48" t="s">
        <v>457</v>
      </c>
      <c r="D97" s="48" t="s">
        <v>17</v>
      </c>
      <c r="E97" s="49" t="s">
        <v>458</v>
      </c>
      <c r="F97" s="50">
        <f t="shared" ca="1" si="1"/>
        <v>39</v>
      </c>
      <c r="G97" s="48" t="s">
        <v>31</v>
      </c>
      <c r="H97" s="51" t="s">
        <v>268</v>
      </c>
      <c r="I97" s="54">
        <v>4</v>
      </c>
      <c r="K97"/>
    </row>
    <row r="98" spans="1:11" ht="29.4" x14ac:dyDescent="0.4">
      <c r="A98" s="46">
        <v>97</v>
      </c>
      <c r="B98" s="47">
        <v>1234567987</v>
      </c>
      <c r="C98" s="48" t="s">
        <v>459</v>
      </c>
      <c r="D98" s="48" t="s">
        <v>17</v>
      </c>
      <c r="E98" s="49" t="s">
        <v>460</v>
      </c>
      <c r="F98" s="50">
        <f t="shared" ca="1" si="1"/>
        <v>58</v>
      </c>
      <c r="G98" s="48" t="s">
        <v>32</v>
      </c>
      <c r="H98" s="51" t="s">
        <v>268</v>
      </c>
      <c r="I98" s="54">
        <v>1</v>
      </c>
      <c r="K98"/>
    </row>
    <row r="99" spans="1:11" ht="29.4" x14ac:dyDescent="0.4">
      <c r="A99" s="46">
        <v>98</v>
      </c>
      <c r="B99" s="47">
        <v>1234567988</v>
      </c>
      <c r="C99" s="48" t="s">
        <v>461</v>
      </c>
      <c r="D99" s="48" t="s">
        <v>17</v>
      </c>
      <c r="E99" s="49" t="s">
        <v>406</v>
      </c>
      <c r="F99" s="50">
        <f t="shared" ca="1" si="1"/>
        <v>29</v>
      </c>
      <c r="G99" s="48" t="s">
        <v>31</v>
      </c>
      <c r="H99" s="51" t="s">
        <v>268</v>
      </c>
      <c r="I99" s="54">
        <v>1</v>
      </c>
      <c r="K99"/>
    </row>
    <row r="100" spans="1:11" ht="29.4" x14ac:dyDescent="0.4">
      <c r="A100" s="46">
        <v>99</v>
      </c>
      <c r="B100" s="47">
        <v>1234567989</v>
      </c>
      <c r="C100" s="48" t="s">
        <v>462</v>
      </c>
      <c r="D100" s="48" t="s">
        <v>17</v>
      </c>
      <c r="E100" s="49" t="s">
        <v>463</v>
      </c>
      <c r="F100" s="50">
        <f t="shared" ca="1" si="1"/>
        <v>74</v>
      </c>
      <c r="G100" s="48" t="s">
        <v>32</v>
      </c>
      <c r="H100" s="51" t="s">
        <v>268</v>
      </c>
      <c r="I100" s="54">
        <v>1</v>
      </c>
      <c r="K100"/>
    </row>
    <row r="101" spans="1:11" ht="29.4" x14ac:dyDescent="0.4">
      <c r="A101" s="46">
        <v>100</v>
      </c>
      <c r="B101" s="47">
        <v>1234567990</v>
      </c>
      <c r="C101" s="48" t="s">
        <v>464</v>
      </c>
      <c r="D101" s="48" t="s">
        <v>17</v>
      </c>
      <c r="E101" s="49" t="s">
        <v>465</v>
      </c>
      <c r="F101" s="50">
        <f t="shared" ca="1" si="1"/>
        <v>41</v>
      </c>
      <c r="G101" s="48" t="s">
        <v>32</v>
      </c>
      <c r="H101" s="51" t="s">
        <v>268</v>
      </c>
      <c r="I101" s="54">
        <v>5</v>
      </c>
      <c r="K101"/>
    </row>
    <row r="102" spans="1:11" ht="29.4" x14ac:dyDescent="0.4">
      <c r="A102" s="46">
        <v>101</v>
      </c>
      <c r="B102" s="47">
        <v>1234567991</v>
      </c>
      <c r="C102" s="48" t="s">
        <v>466</v>
      </c>
      <c r="D102" s="48" t="s">
        <v>17</v>
      </c>
      <c r="E102" s="49" t="s">
        <v>467</v>
      </c>
      <c r="F102" s="50">
        <f t="shared" ca="1" si="1"/>
        <v>34</v>
      </c>
      <c r="G102" s="48" t="s">
        <v>32</v>
      </c>
      <c r="H102" s="51" t="s">
        <v>268</v>
      </c>
      <c r="I102" s="54">
        <v>1</v>
      </c>
      <c r="K102"/>
    </row>
    <row r="103" spans="1:11" ht="29.4" x14ac:dyDescent="0.4">
      <c r="A103" s="46">
        <v>102</v>
      </c>
      <c r="B103" s="47">
        <v>1234567992</v>
      </c>
      <c r="C103" s="48" t="s">
        <v>468</v>
      </c>
      <c r="D103" s="48" t="s">
        <v>17</v>
      </c>
      <c r="E103" s="49" t="s">
        <v>469</v>
      </c>
      <c r="F103" s="50">
        <f t="shared" ca="1" si="1"/>
        <v>54</v>
      </c>
      <c r="G103" s="48" t="s">
        <v>31</v>
      </c>
      <c r="H103" s="51" t="s">
        <v>268</v>
      </c>
      <c r="I103" s="54">
        <v>5</v>
      </c>
      <c r="K103"/>
    </row>
    <row r="104" spans="1:11" ht="29.4" x14ac:dyDescent="0.4">
      <c r="A104" s="46">
        <v>103</v>
      </c>
      <c r="B104" s="47">
        <v>1234567993</v>
      </c>
      <c r="C104" s="48" t="s">
        <v>470</v>
      </c>
      <c r="D104" s="48" t="s">
        <v>17</v>
      </c>
      <c r="E104" s="49" t="s">
        <v>471</v>
      </c>
      <c r="F104" s="50">
        <f t="shared" ca="1" si="1"/>
        <v>38</v>
      </c>
      <c r="G104" s="48" t="s">
        <v>31</v>
      </c>
      <c r="H104" s="51" t="s">
        <v>268</v>
      </c>
      <c r="I104" s="54">
        <v>3</v>
      </c>
      <c r="K104"/>
    </row>
    <row r="105" spans="1:11" ht="29.4" x14ac:dyDescent="0.4">
      <c r="A105" s="46">
        <v>104</v>
      </c>
      <c r="B105" s="47">
        <v>1234567994</v>
      </c>
      <c r="C105" s="48" t="s">
        <v>472</v>
      </c>
      <c r="D105" s="48" t="s">
        <v>17</v>
      </c>
      <c r="E105" s="49" t="s">
        <v>473</v>
      </c>
      <c r="F105" s="50">
        <f t="shared" ca="1" si="1"/>
        <v>51</v>
      </c>
      <c r="G105" s="48" t="s">
        <v>31</v>
      </c>
      <c r="H105" s="51" t="s">
        <v>268</v>
      </c>
      <c r="I105" s="54">
        <v>5</v>
      </c>
      <c r="K105"/>
    </row>
    <row r="106" spans="1:11" ht="29.4" x14ac:dyDescent="0.4">
      <c r="A106" s="46">
        <v>105</v>
      </c>
      <c r="B106" s="47">
        <v>1234567995</v>
      </c>
      <c r="C106" s="48" t="s">
        <v>474</v>
      </c>
      <c r="D106" s="48" t="s">
        <v>17</v>
      </c>
      <c r="E106" s="49" t="s">
        <v>475</v>
      </c>
      <c r="F106" s="50">
        <f t="shared" ca="1" si="1"/>
        <v>32</v>
      </c>
      <c r="G106" s="48" t="s">
        <v>32</v>
      </c>
      <c r="H106" s="51" t="s">
        <v>268</v>
      </c>
      <c r="I106" s="54">
        <v>5</v>
      </c>
      <c r="K106"/>
    </row>
    <row r="107" spans="1:11" ht="29.4" x14ac:dyDescent="0.4">
      <c r="A107" s="46">
        <v>106</v>
      </c>
      <c r="B107" s="47">
        <v>1234567996</v>
      </c>
      <c r="C107" s="48" t="s">
        <v>476</v>
      </c>
      <c r="D107" s="48" t="s">
        <v>17</v>
      </c>
      <c r="E107" s="49" t="s">
        <v>477</v>
      </c>
      <c r="F107" s="50">
        <f t="shared" ca="1" si="1"/>
        <v>36</v>
      </c>
      <c r="G107" s="48" t="s">
        <v>31</v>
      </c>
      <c r="H107" s="51" t="s">
        <v>268</v>
      </c>
      <c r="I107" s="54">
        <v>3</v>
      </c>
      <c r="K107"/>
    </row>
    <row r="108" spans="1:11" ht="29.4" x14ac:dyDescent="0.4">
      <c r="A108" s="46">
        <v>107</v>
      </c>
      <c r="B108" s="47">
        <v>1234567997</v>
      </c>
      <c r="C108" s="48" t="s">
        <v>478</v>
      </c>
      <c r="D108" s="48" t="s">
        <v>17</v>
      </c>
      <c r="E108" s="49" t="s">
        <v>479</v>
      </c>
      <c r="F108" s="50">
        <f t="shared" ca="1" si="1"/>
        <v>54</v>
      </c>
      <c r="G108" s="48" t="s">
        <v>32</v>
      </c>
      <c r="H108" s="51" t="s">
        <v>268</v>
      </c>
      <c r="I108" s="54">
        <v>5</v>
      </c>
      <c r="K108"/>
    </row>
    <row r="109" spans="1:11" ht="29.4" x14ac:dyDescent="0.4">
      <c r="A109" s="46">
        <v>108</v>
      </c>
      <c r="B109" s="47">
        <v>1234567998</v>
      </c>
      <c r="C109" s="48" t="s">
        <v>480</v>
      </c>
      <c r="D109" s="48" t="s">
        <v>17</v>
      </c>
      <c r="E109" s="49" t="s">
        <v>481</v>
      </c>
      <c r="F109" s="50">
        <f t="shared" ca="1" si="1"/>
        <v>32</v>
      </c>
      <c r="G109" s="48" t="s">
        <v>32</v>
      </c>
      <c r="H109" s="51" t="s">
        <v>268</v>
      </c>
      <c r="I109" s="54">
        <v>3</v>
      </c>
      <c r="K109"/>
    </row>
    <row r="110" spans="1:11" ht="29.4" x14ac:dyDescent="0.4">
      <c r="A110" s="46">
        <v>109</v>
      </c>
      <c r="B110" s="47">
        <v>1234567999</v>
      </c>
      <c r="C110" s="48" t="s">
        <v>482</v>
      </c>
      <c r="D110" s="48" t="s">
        <v>17</v>
      </c>
      <c r="E110" s="49" t="s">
        <v>483</v>
      </c>
      <c r="F110" s="50">
        <f t="shared" ca="1" si="1"/>
        <v>57</v>
      </c>
      <c r="G110" s="48" t="s">
        <v>32</v>
      </c>
      <c r="H110" s="51" t="s">
        <v>268</v>
      </c>
      <c r="I110" s="54">
        <v>1</v>
      </c>
      <c r="K110"/>
    </row>
    <row r="111" spans="1:11" ht="29.4" x14ac:dyDescent="0.4">
      <c r="A111" s="46">
        <v>110</v>
      </c>
      <c r="B111" s="47">
        <v>1234568000</v>
      </c>
      <c r="C111" s="48" t="s">
        <v>484</v>
      </c>
      <c r="D111" s="48" t="s">
        <v>17</v>
      </c>
      <c r="E111" s="49" t="s">
        <v>485</v>
      </c>
      <c r="F111" s="50">
        <f t="shared" ca="1" si="1"/>
        <v>28</v>
      </c>
      <c r="G111" s="48" t="s">
        <v>32</v>
      </c>
      <c r="H111" s="51" t="s">
        <v>268</v>
      </c>
      <c r="I111" s="54">
        <v>1</v>
      </c>
      <c r="K111"/>
    </row>
    <row r="112" spans="1:11" ht="29.4" x14ac:dyDescent="0.4">
      <c r="A112" s="46">
        <v>111</v>
      </c>
      <c r="B112" s="47">
        <v>1234568001</v>
      </c>
      <c r="C112" s="48" t="s">
        <v>486</v>
      </c>
      <c r="D112" s="48" t="s">
        <v>17</v>
      </c>
      <c r="E112" s="49" t="s">
        <v>487</v>
      </c>
      <c r="F112" s="50">
        <f t="shared" ca="1" si="1"/>
        <v>47</v>
      </c>
      <c r="G112" s="48" t="s">
        <v>32</v>
      </c>
      <c r="H112" s="51" t="s">
        <v>268</v>
      </c>
      <c r="I112" s="54">
        <v>2</v>
      </c>
      <c r="K112"/>
    </row>
    <row r="113" spans="1:11" ht="29.4" x14ac:dyDescent="0.4">
      <c r="A113" s="46">
        <v>112</v>
      </c>
      <c r="B113" s="47">
        <v>1234568002</v>
      </c>
      <c r="C113" s="48" t="s">
        <v>488</v>
      </c>
      <c r="D113" s="48" t="s">
        <v>17</v>
      </c>
      <c r="E113" s="49" t="s">
        <v>489</v>
      </c>
      <c r="F113" s="50">
        <f t="shared" ca="1" si="1"/>
        <v>56</v>
      </c>
      <c r="G113" s="48" t="s">
        <v>31</v>
      </c>
      <c r="H113" s="51" t="s">
        <v>268</v>
      </c>
      <c r="I113" s="54">
        <v>3</v>
      </c>
      <c r="K113"/>
    </row>
    <row r="114" spans="1:11" ht="29.4" x14ac:dyDescent="0.4">
      <c r="A114" s="46">
        <v>113</v>
      </c>
      <c r="B114" s="47">
        <v>1234568003</v>
      </c>
      <c r="C114" s="48" t="s">
        <v>490</v>
      </c>
      <c r="D114" s="48" t="s">
        <v>17</v>
      </c>
      <c r="E114" s="49" t="s">
        <v>491</v>
      </c>
      <c r="F114" s="50">
        <f t="shared" ca="1" si="1"/>
        <v>74</v>
      </c>
      <c r="G114" s="48" t="s">
        <v>31</v>
      </c>
      <c r="H114" s="51" t="s">
        <v>268</v>
      </c>
      <c r="I114" s="54">
        <v>3</v>
      </c>
      <c r="K114"/>
    </row>
    <row r="115" spans="1:11" ht="29.4" x14ac:dyDescent="0.4">
      <c r="A115" s="46">
        <v>114</v>
      </c>
      <c r="B115" s="47">
        <v>1234568004</v>
      </c>
      <c r="C115" s="48" t="s">
        <v>492</v>
      </c>
      <c r="D115" s="48" t="s">
        <v>17</v>
      </c>
      <c r="E115" s="49" t="s">
        <v>493</v>
      </c>
      <c r="F115" s="50">
        <f t="shared" ca="1" si="1"/>
        <v>68</v>
      </c>
      <c r="G115" s="48" t="s">
        <v>32</v>
      </c>
      <c r="H115" s="51" t="s">
        <v>268</v>
      </c>
      <c r="I115" s="54">
        <v>1</v>
      </c>
      <c r="K115"/>
    </row>
    <row r="116" spans="1:11" ht="29.4" x14ac:dyDescent="0.4">
      <c r="A116" s="46">
        <v>115</v>
      </c>
      <c r="B116" s="47">
        <v>1234568005</v>
      </c>
      <c r="C116" s="48" t="s">
        <v>494</v>
      </c>
      <c r="D116" s="48" t="s">
        <v>17</v>
      </c>
      <c r="E116" s="49" t="s">
        <v>354</v>
      </c>
      <c r="F116" s="50">
        <f t="shared" ca="1" si="1"/>
        <v>59</v>
      </c>
      <c r="G116" s="48" t="s">
        <v>31</v>
      </c>
      <c r="H116" s="51" t="s">
        <v>268</v>
      </c>
      <c r="I116" s="54">
        <v>3</v>
      </c>
      <c r="K116"/>
    </row>
    <row r="117" spans="1:11" ht="29.4" x14ac:dyDescent="0.4">
      <c r="A117" s="46">
        <v>116</v>
      </c>
      <c r="B117" s="47">
        <v>1234568006</v>
      </c>
      <c r="C117" s="48" t="s">
        <v>495</v>
      </c>
      <c r="D117" s="48" t="s">
        <v>17</v>
      </c>
      <c r="E117" s="49" t="s">
        <v>496</v>
      </c>
      <c r="F117" s="50">
        <f t="shared" ca="1" si="1"/>
        <v>37</v>
      </c>
      <c r="G117" s="48" t="s">
        <v>31</v>
      </c>
      <c r="H117" s="51" t="s">
        <v>268</v>
      </c>
      <c r="I117" s="54">
        <v>2</v>
      </c>
      <c r="K117"/>
    </row>
    <row r="118" spans="1:11" ht="29.4" x14ac:dyDescent="0.4">
      <c r="A118" s="46">
        <v>117</v>
      </c>
      <c r="B118" s="47">
        <v>1234568007</v>
      </c>
      <c r="C118" s="48" t="s">
        <v>497</v>
      </c>
      <c r="D118" s="48" t="s">
        <v>17</v>
      </c>
      <c r="E118" s="49" t="s">
        <v>498</v>
      </c>
      <c r="F118" s="50">
        <f t="shared" ca="1" si="1"/>
        <v>29</v>
      </c>
      <c r="G118" s="48" t="s">
        <v>32</v>
      </c>
      <c r="H118" s="51" t="s">
        <v>268</v>
      </c>
      <c r="I118" s="54">
        <v>2</v>
      </c>
      <c r="K118"/>
    </row>
    <row r="119" spans="1:11" ht="29.4" x14ac:dyDescent="0.4">
      <c r="A119" s="46">
        <v>118</v>
      </c>
      <c r="B119" s="47">
        <v>1234568008</v>
      </c>
      <c r="C119" s="48" t="s">
        <v>499</v>
      </c>
      <c r="D119" s="48" t="s">
        <v>17</v>
      </c>
      <c r="E119" s="49" t="s">
        <v>500</v>
      </c>
      <c r="F119" s="50">
        <f t="shared" ca="1" si="1"/>
        <v>47</v>
      </c>
      <c r="G119" s="48" t="s">
        <v>31</v>
      </c>
      <c r="H119" s="51" t="s">
        <v>268</v>
      </c>
      <c r="I119" s="54">
        <v>5</v>
      </c>
      <c r="K119"/>
    </row>
    <row r="120" spans="1:11" ht="29.4" x14ac:dyDescent="0.4">
      <c r="A120" s="46">
        <v>119</v>
      </c>
      <c r="B120" s="47">
        <v>1234568009</v>
      </c>
      <c r="C120" s="48" t="s">
        <v>501</v>
      </c>
      <c r="D120" s="48" t="s">
        <v>17</v>
      </c>
      <c r="E120" s="49" t="s">
        <v>502</v>
      </c>
      <c r="F120" s="50">
        <f t="shared" ca="1" si="1"/>
        <v>59</v>
      </c>
      <c r="G120" s="48" t="s">
        <v>32</v>
      </c>
      <c r="H120" s="51" t="s">
        <v>268</v>
      </c>
      <c r="I120" s="54">
        <v>1</v>
      </c>
      <c r="K120"/>
    </row>
    <row r="121" spans="1:11" ht="29.4" x14ac:dyDescent="0.4">
      <c r="A121" s="46">
        <v>120</v>
      </c>
      <c r="B121" s="47">
        <v>1234568010</v>
      </c>
      <c r="C121" s="48" t="s">
        <v>503</v>
      </c>
      <c r="D121" s="48" t="s">
        <v>17</v>
      </c>
      <c r="E121" s="49" t="s">
        <v>504</v>
      </c>
      <c r="F121" s="50">
        <f t="shared" ca="1" si="1"/>
        <v>75</v>
      </c>
      <c r="G121" s="48" t="s">
        <v>32</v>
      </c>
      <c r="H121" s="51" t="s">
        <v>268</v>
      </c>
      <c r="I121" s="54">
        <v>2</v>
      </c>
      <c r="K121"/>
    </row>
    <row r="122" spans="1:11" ht="29.4" x14ac:dyDescent="0.4">
      <c r="A122" s="46">
        <v>121</v>
      </c>
      <c r="B122" s="47">
        <v>1234568011</v>
      </c>
      <c r="C122" s="48" t="s">
        <v>505</v>
      </c>
      <c r="D122" s="48" t="s">
        <v>17</v>
      </c>
      <c r="E122" s="49" t="s">
        <v>506</v>
      </c>
      <c r="F122" s="50">
        <f t="shared" ca="1" si="1"/>
        <v>65</v>
      </c>
      <c r="G122" s="48" t="s">
        <v>32</v>
      </c>
      <c r="H122" s="51" t="s">
        <v>268</v>
      </c>
      <c r="I122" s="54">
        <v>3</v>
      </c>
      <c r="K122"/>
    </row>
    <row r="123" spans="1:11" ht="29.4" x14ac:dyDescent="0.4">
      <c r="A123" s="46">
        <v>122</v>
      </c>
      <c r="B123" s="47">
        <v>1234568012</v>
      </c>
      <c r="C123" s="48" t="s">
        <v>507</v>
      </c>
      <c r="D123" s="48" t="s">
        <v>17</v>
      </c>
      <c r="E123" s="49" t="s">
        <v>508</v>
      </c>
      <c r="F123" s="50">
        <f t="shared" ca="1" si="1"/>
        <v>89</v>
      </c>
      <c r="G123" s="48" t="s">
        <v>31</v>
      </c>
      <c r="H123" s="51" t="s">
        <v>268</v>
      </c>
      <c r="I123" s="54">
        <v>5</v>
      </c>
      <c r="K123"/>
    </row>
    <row r="124" spans="1:11" ht="29.4" x14ac:dyDescent="0.4">
      <c r="A124" s="46">
        <v>123</v>
      </c>
      <c r="B124" s="47">
        <v>1234568013</v>
      </c>
      <c r="C124" s="48" t="s">
        <v>509</v>
      </c>
      <c r="D124" s="48" t="s">
        <v>17</v>
      </c>
      <c r="E124" s="49" t="s">
        <v>510</v>
      </c>
      <c r="F124" s="50">
        <f t="shared" ca="1" si="1"/>
        <v>48</v>
      </c>
      <c r="G124" s="48" t="s">
        <v>31</v>
      </c>
      <c r="H124" s="51" t="s">
        <v>268</v>
      </c>
      <c r="I124" s="54">
        <v>3</v>
      </c>
      <c r="K124"/>
    </row>
    <row r="125" spans="1:11" ht="29.4" x14ac:dyDescent="0.4">
      <c r="A125" s="46">
        <v>124</v>
      </c>
      <c r="B125" s="47">
        <v>1234568014</v>
      </c>
      <c r="C125" s="48" t="s">
        <v>511</v>
      </c>
      <c r="D125" s="48" t="s">
        <v>17</v>
      </c>
      <c r="E125" s="49" t="s">
        <v>512</v>
      </c>
      <c r="F125" s="50">
        <f t="shared" ca="1" si="1"/>
        <v>61</v>
      </c>
      <c r="G125" s="48" t="s">
        <v>31</v>
      </c>
      <c r="H125" s="51" t="s">
        <v>268</v>
      </c>
      <c r="I125" s="54">
        <v>2</v>
      </c>
      <c r="K125"/>
    </row>
    <row r="126" spans="1:11" ht="29.4" x14ac:dyDescent="0.4">
      <c r="A126" s="46">
        <v>125</v>
      </c>
      <c r="B126" s="47">
        <v>1234568015</v>
      </c>
      <c r="C126" s="48" t="s">
        <v>513</v>
      </c>
      <c r="D126" s="48" t="s">
        <v>17</v>
      </c>
      <c r="E126" s="49" t="s">
        <v>514</v>
      </c>
      <c r="F126" s="50">
        <f t="shared" ca="1" si="1"/>
        <v>56</v>
      </c>
      <c r="G126" s="48" t="s">
        <v>32</v>
      </c>
      <c r="H126" s="51" t="s">
        <v>268</v>
      </c>
      <c r="I126" s="54">
        <v>3</v>
      </c>
      <c r="K126"/>
    </row>
    <row r="127" spans="1:11" ht="29.4" x14ac:dyDescent="0.4">
      <c r="A127" s="46">
        <v>126</v>
      </c>
      <c r="B127" s="47">
        <v>1234568016</v>
      </c>
      <c r="C127" s="48" t="s">
        <v>515</v>
      </c>
      <c r="D127" s="48" t="s">
        <v>17</v>
      </c>
      <c r="E127" s="49" t="s">
        <v>516</v>
      </c>
      <c r="F127" s="50">
        <f t="shared" ca="1" si="1"/>
        <v>40</v>
      </c>
      <c r="G127" s="48" t="s">
        <v>31</v>
      </c>
      <c r="H127" s="51" t="s">
        <v>268</v>
      </c>
      <c r="I127" s="54">
        <v>3</v>
      </c>
      <c r="K127"/>
    </row>
    <row r="128" spans="1:11" ht="29.4" x14ac:dyDescent="0.4">
      <c r="A128" s="46">
        <v>127</v>
      </c>
      <c r="B128" s="47">
        <v>1234568017</v>
      </c>
      <c r="C128" s="48" t="s">
        <v>517</v>
      </c>
      <c r="D128" s="48" t="s">
        <v>17</v>
      </c>
      <c r="E128" s="49" t="s">
        <v>518</v>
      </c>
      <c r="F128" s="50">
        <f t="shared" ca="1" si="1"/>
        <v>39</v>
      </c>
      <c r="G128" s="48" t="s">
        <v>31</v>
      </c>
      <c r="H128" s="51" t="s">
        <v>268</v>
      </c>
      <c r="I128" s="54">
        <v>2</v>
      </c>
      <c r="K128"/>
    </row>
    <row r="129" spans="1:11" ht="29.4" x14ac:dyDescent="0.4">
      <c r="A129" s="46">
        <v>128</v>
      </c>
      <c r="B129" s="47">
        <v>1234568018</v>
      </c>
      <c r="C129" s="48" t="s">
        <v>519</v>
      </c>
      <c r="D129" s="48" t="s">
        <v>17</v>
      </c>
      <c r="E129" s="49" t="s">
        <v>520</v>
      </c>
      <c r="F129" s="50">
        <f t="shared" ca="1" si="1"/>
        <v>87</v>
      </c>
      <c r="G129" s="48" t="s">
        <v>32</v>
      </c>
      <c r="H129" s="51" t="s">
        <v>268</v>
      </c>
      <c r="I129" s="54">
        <v>2</v>
      </c>
      <c r="K129"/>
    </row>
    <row r="130" spans="1:11" ht="29.4" x14ac:dyDescent="0.4">
      <c r="A130" s="46">
        <v>129</v>
      </c>
      <c r="B130" s="47">
        <v>1234568019</v>
      </c>
      <c r="C130" s="48" t="s">
        <v>521</v>
      </c>
      <c r="D130" s="48" t="s">
        <v>17</v>
      </c>
      <c r="E130" s="49" t="s">
        <v>522</v>
      </c>
      <c r="F130" s="50">
        <f t="shared" ca="1" si="1"/>
        <v>38</v>
      </c>
      <c r="G130" s="48" t="s">
        <v>31</v>
      </c>
      <c r="H130" s="51" t="s">
        <v>268</v>
      </c>
      <c r="I130" s="54">
        <v>2</v>
      </c>
      <c r="K130"/>
    </row>
    <row r="131" spans="1:11" ht="29.4" x14ac:dyDescent="0.4">
      <c r="A131" s="46">
        <v>130</v>
      </c>
      <c r="B131" s="47">
        <v>1234568020</v>
      </c>
      <c r="C131" s="48" t="s">
        <v>523</v>
      </c>
      <c r="D131" s="48" t="s">
        <v>17</v>
      </c>
      <c r="E131" s="49" t="s">
        <v>524</v>
      </c>
      <c r="F131" s="50">
        <f t="shared" ref="F131:F148" ca="1" si="2">DATEDIF(E131,TODAY(),"Y")</f>
        <v>53</v>
      </c>
      <c r="G131" s="48" t="s">
        <v>31</v>
      </c>
      <c r="H131" s="51" t="s">
        <v>268</v>
      </c>
      <c r="I131" s="54">
        <v>1</v>
      </c>
      <c r="K131"/>
    </row>
    <row r="132" spans="1:11" ht="29.4" x14ac:dyDescent="0.4">
      <c r="A132" s="46">
        <v>131</v>
      </c>
      <c r="B132" s="47">
        <v>1234568021</v>
      </c>
      <c r="C132" s="48" t="s">
        <v>525</v>
      </c>
      <c r="D132" s="48" t="s">
        <v>17</v>
      </c>
      <c r="E132" s="49" t="s">
        <v>526</v>
      </c>
      <c r="F132" s="50">
        <f t="shared" ca="1" si="2"/>
        <v>63</v>
      </c>
      <c r="G132" s="48" t="s">
        <v>31</v>
      </c>
      <c r="H132" s="51" t="s">
        <v>268</v>
      </c>
      <c r="I132" s="54">
        <v>2</v>
      </c>
      <c r="K132"/>
    </row>
    <row r="133" spans="1:11" ht="29.4" x14ac:dyDescent="0.4">
      <c r="A133" s="46">
        <v>132</v>
      </c>
      <c r="B133" s="47">
        <v>1234568022</v>
      </c>
      <c r="C133" s="48" t="s">
        <v>527</v>
      </c>
      <c r="D133" s="48" t="s">
        <v>17</v>
      </c>
      <c r="E133" s="49" t="s">
        <v>528</v>
      </c>
      <c r="F133" s="50">
        <f t="shared" ca="1" si="2"/>
        <v>43</v>
      </c>
      <c r="G133" s="48" t="s">
        <v>32</v>
      </c>
      <c r="H133" s="51" t="s">
        <v>268</v>
      </c>
      <c r="I133" s="54">
        <v>4</v>
      </c>
      <c r="K133"/>
    </row>
    <row r="134" spans="1:11" ht="29.4" x14ac:dyDescent="0.4">
      <c r="A134" s="46">
        <v>133</v>
      </c>
      <c r="B134" s="47">
        <v>1234568023</v>
      </c>
      <c r="C134" s="48" t="s">
        <v>529</v>
      </c>
      <c r="D134" s="48" t="s">
        <v>17</v>
      </c>
      <c r="E134" s="49" t="s">
        <v>530</v>
      </c>
      <c r="F134" s="50">
        <f t="shared" ca="1" si="2"/>
        <v>54</v>
      </c>
      <c r="G134" s="48" t="s">
        <v>31</v>
      </c>
      <c r="H134" s="51" t="s">
        <v>268</v>
      </c>
      <c r="I134" s="54">
        <v>2</v>
      </c>
      <c r="K134"/>
    </row>
    <row r="135" spans="1:11" ht="29.4" x14ac:dyDescent="0.4">
      <c r="A135" s="46">
        <v>134</v>
      </c>
      <c r="B135" s="47">
        <v>1234568024</v>
      </c>
      <c r="C135" s="48" t="s">
        <v>531</v>
      </c>
      <c r="D135" s="48" t="s">
        <v>17</v>
      </c>
      <c r="E135" s="49" t="s">
        <v>532</v>
      </c>
      <c r="F135" s="50">
        <f t="shared" ca="1" si="2"/>
        <v>58</v>
      </c>
      <c r="G135" s="48" t="s">
        <v>32</v>
      </c>
      <c r="H135" s="51" t="s">
        <v>268</v>
      </c>
      <c r="I135" s="54">
        <v>3</v>
      </c>
      <c r="K135"/>
    </row>
    <row r="136" spans="1:11" ht="29.4" x14ac:dyDescent="0.4">
      <c r="A136" s="46">
        <v>135</v>
      </c>
      <c r="B136" s="47">
        <v>1234568025</v>
      </c>
      <c r="C136" s="48" t="s">
        <v>533</v>
      </c>
      <c r="D136" s="48" t="s">
        <v>17</v>
      </c>
      <c r="E136" s="49" t="s">
        <v>534</v>
      </c>
      <c r="F136" s="50">
        <f t="shared" ca="1" si="2"/>
        <v>62</v>
      </c>
      <c r="G136" s="48" t="s">
        <v>31</v>
      </c>
      <c r="H136" s="51" t="s">
        <v>268</v>
      </c>
      <c r="I136" s="54">
        <v>1</v>
      </c>
      <c r="K136"/>
    </row>
    <row r="137" spans="1:11" ht="29.4" x14ac:dyDescent="0.4">
      <c r="A137" s="46">
        <v>136</v>
      </c>
      <c r="B137" s="47">
        <v>1234568026</v>
      </c>
      <c r="C137" s="48" t="s">
        <v>535</v>
      </c>
      <c r="D137" s="48" t="s">
        <v>17</v>
      </c>
      <c r="E137" s="49" t="s">
        <v>536</v>
      </c>
      <c r="F137" s="50">
        <f t="shared" ca="1" si="2"/>
        <v>62</v>
      </c>
      <c r="G137" s="48" t="s">
        <v>31</v>
      </c>
      <c r="H137" s="51" t="s">
        <v>268</v>
      </c>
      <c r="I137" s="54">
        <v>3</v>
      </c>
      <c r="K137"/>
    </row>
    <row r="138" spans="1:11" ht="29.4" x14ac:dyDescent="0.4">
      <c r="A138" s="46">
        <v>137</v>
      </c>
      <c r="B138" s="47">
        <v>1234568027</v>
      </c>
      <c r="C138" s="48" t="s">
        <v>537</v>
      </c>
      <c r="D138" s="48" t="s">
        <v>17</v>
      </c>
      <c r="E138" s="49" t="s">
        <v>538</v>
      </c>
      <c r="F138" s="50">
        <f t="shared" ca="1" si="2"/>
        <v>51</v>
      </c>
      <c r="G138" s="48" t="s">
        <v>31</v>
      </c>
      <c r="H138" s="51" t="s">
        <v>268</v>
      </c>
      <c r="I138" s="54">
        <v>2</v>
      </c>
      <c r="K138"/>
    </row>
    <row r="139" spans="1:11" ht="29.4" x14ac:dyDescent="0.4">
      <c r="A139" s="46">
        <v>138</v>
      </c>
      <c r="B139" s="47">
        <v>1234568028</v>
      </c>
      <c r="C139" s="48" t="s">
        <v>539</v>
      </c>
      <c r="D139" s="48" t="s">
        <v>17</v>
      </c>
      <c r="E139" s="49" t="s">
        <v>346</v>
      </c>
      <c r="F139" s="50">
        <f t="shared" ca="1" si="2"/>
        <v>39</v>
      </c>
      <c r="G139" s="48" t="s">
        <v>32</v>
      </c>
      <c r="H139" s="51" t="s">
        <v>268</v>
      </c>
      <c r="I139" s="54">
        <v>3</v>
      </c>
      <c r="K139"/>
    </row>
    <row r="140" spans="1:11" ht="29.4" x14ac:dyDescent="0.4">
      <c r="A140" s="46">
        <v>139</v>
      </c>
      <c r="B140" s="47">
        <v>1234568029</v>
      </c>
      <c r="C140" s="48" t="s">
        <v>540</v>
      </c>
      <c r="D140" s="48" t="s">
        <v>17</v>
      </c>
      <c r="E140" s="49" t="s">
        <v>541</v>
      </c>
      <c r="F140" s="50">
        <f t="shared" ca="1" si="2"/>
        <v>32</v>
      </c>
      <c r="G140" s="48" t="s">
        <v>31</v>
      </c>
      <c r="H140" s="51" t="s">
        <v>268</v>
      </c>
      <c r="I140" s="54">
        <v>5</v>
      </c>
      <c r="K140"/>
    </row>
    <row r="141" spans="1:11" ht="29.4" x14ac:dyDescent="0.4">
      <c r="A141" s="46">
        <v>140</v>
      </c>
      <c r="B141" s="47">
        <v>1234568030</v>
      </c>
      <c r="C141" s="48" t="s">
        <v>542</v>
      </c>
      <c r="D141" s="48" t="s">
        <v>17</v>
      </c>
      <c r="E141" s="49" t="s">
        <v>543</v>
      </c>
      <c r="F141" s="50">
        <f t="shared" ca="1" si="2"/>
        <v>50</v>
      </c>
      <c r="G141" s="48" t="s">
        <v>32</v>
      </c>
      <c r="H141" s="51" t="s">
        <v>268</v>
      </c>
      <c r="I141" s="54">
        <v>3</v>
      </c>
      <c r="K141"/>
    </row>
    <row r="142" spans="1:11" ht="29.4" x14ac:dyDescent="0.4">
      <c r="A142" s="46">
        <v>141</v>
      </c>
      <c r="B142" s="47">
        <v>1234568031</v>
      </c>
      <c r="C142" s="48" t="s">
        <v>544</v>
      </c>
      <c r="D142" s="48" t="s">
        <v>17</v>
      </c>
      <c r="E142" s="49" t="s">
        <v>342</v>
      </c>
      <c r="F142" s="50">
        <f t="shared" ca="1" si="2"/>
        <v>59</v>
      </c>
      <c r="G142" s="48" t="s">
        <v>32</v>
      </c>
      <c r="H142" s="51" t="s">
        <v>268</v>
      </c>
      <c r="I142" s="54">
        <v>4</v>
      </c>
      <c r="K142"/>
    </row>
    <row r="143" spans="1:11" ht="29.4" x14ac:dyDescent="0.4">
      <c r="A143" s="46">
        <v>142</v>
      </c>
      <c r="B143" s="47">
        <v>1234568032</v>
      </c>
      <c r="C143" s="48" t="s">
        <v>545</v>
      </c>
      <c r="D143" s="48" t="s">
        <v>17</v>
      </c>
      <c r="E143" s="49" t="s">
        <v>344</v>
      </c>
      <c r="F143" s="50">
        <f t="shared" ca="1" si="2"/>
        <v>76</v>
      </c>
      <c r="G143" s="48" t="s">
        <v>31</v>
      </c>
      <c r="H143" s="51" t="s">
        <v>268</v>
      </c>
      <c r="I143" s="54">
        <v>3</v>
      </c>
      <c r="K143"/>
    </row>
    <row r="144" spans="1:11" ht="29.4" x14ac:dyDescent="0.4">
      <c r="A144" s="46">
        <v>143</v>
      </c>
      <c r="B144" s="47">
        <v>1234568033</v>
      </c>
      <c r="C144" s="48" t="s">
        <v>546</v>
      </c>
      <c r="D144" s="48" t="s">
        <v>17</v>
      </c>
      <c r="E144" s="49" t="s">
        <v>346</v>
      </c>
      <c r="F144" s="50">
        <f t="shared" ca="1" si="2"/>
        <v>39</v>
      </c>
      <c r="G144" s="48" t="s">
        <v>31</v>
      </c>
      <c r="H144" s="51" t="s">
        <v>268</v>
      </c>
      <c r="I144" s="54">
        <v>3</v>
      </c>
      <c r="K144"/>
    </row>
    <row r="145" spans="1:11" ht="29.4" x14ac:dyDescent="0.4">
      <c r="A145" s="46">
        <v>144</v>
      </c>
      <c r="B145" s="47">
        <v>1234568034</v>
      </c>
      <c r="C145" s="48" t="s">
        <v>547</v>
      </c>
      <c r="D145" s="48" t="s">
        <v>17</v>
      </c>
      <c r="E145" s="49" t="s">
        <v>348</v>
      </c>
      <c r="F145" s="50">
        <f t="shared" ca="1" si="2"/>
        <v>62</v>
      </c>
      <c r="G145" s="48" t="s">
        <v>32</v>
      </c>
      <c r="H145" s="51" t="s">
        <v>268</v>
      </c>
      <c r="I145" s="54">
        <v>4</v>
      </c>
      <c r="K145"/>
    </row>
    <row r="146" spans="1:11" ht="29.4" x14ac:dyDescent="0.4">
      <c r="A146" s="46">
        <v>145</v>
      </c>
      <c r="B146" s="47">
        <v>1234568035</v>
      </c>
      <c r="C146" s="48" t="s">
        <v>548</v>
      </c>
      <c r="D146" s="48" t="s">
        <v>17</v>
      </c>
      <c r="E146" s="49" t="s">
        <v>549</v>
      </c>
      <c r="F146" s="50">
        <f t="shared" ca="1" si="2"/>
        <v>61</v>
      </c>
      <c r="G146" s="48" t="s">
        <v>31</v>
      </c>
      <c r="H146" s="51" t="s">
        <v>268</v>
      </c>
      <c r="I146" s="54">
        <v>3</v>
      </c>
      <c r="K146"/>
    </row>
    <row r="147" spans="1:11" ht="29.4" x14ac:dyDescent="0.4">
      <c r="A147" s="46">
        <v>146</v>
      </c>
      <c r="B147" s="47">
        <v>1234568036</v>
      </c>
      <c r="C147" s="48" t="s">
        <v>550</v>
      </c>
      <c r="D147" s="48" t="s">
        <v>17</v>
      </c>
      <c r="E147" s="49" t="s">
        <v>551</v>
      </c>
      <c r="F147" s="50">
        <f t="shared" ca="1" si="2"/>
        <v>32</v>
      </c>
      <c r="G147" s="48" t="s">
        <v>32</v>
      </c>
      <c r="H147" s="51" t="s">
        <v>268</v>
      </c>
      <c r="I147" s="54">
        <v>1</v>
      </c>
      <c r="K147"/>
    </row>
    <row r="148" spans="1:11" ht="29.4" x14ac:dyDescent="0.4">
      <c r="A148" s="46">
        <v>147</v>
      </c>
      <c r="B148" s="47">
        <v>1234568037</v>
      </c>
      <c r="C148" s="48" t="s">
        <v>552</v>
      </c>
      <c r="D148" s="48" t="s">
        <v>17</v>
      </c>
      <c r="E148" s="49" t="s">
        <v>553</v>
      </c>
      <c r="F148" s="50">
        <f t="shared" ca="1" si="2"/>
        <v>50</v>
      </c>
      <c r="G148" s="48" t="s">
        <v>32</v>
      </c>
      <c r="H148" s="51" t="s">
        <v>268</v>
      </c>
      <c r="I148" s="54">
        <v>3</v>
      </c>
      <c r="K148"/>
    </row>
    <row r="149" spans="1:11" ht="16.8" x14ac:dyDescent="0.4">
      <c r="K149"/>
    </row>
    <row r="150" spans="1:11" ht="16.8" x14ac:dyDescent="0.4">
      <c r="K150"/>
    </row>
    <row r="151" spans="1:11" ht="16.8" x14ac:dyDescent="0.4">
      <c r="K151"/>
    </row>
    <row r="152" spans="1:11" ht="16.8" x14ac:dyDescent="0.4">
      <c r="K152"/>
    </row>
    <row r="153" spans="1:11" ht="16.8" x14ac:dyDescent="0.4">
      <c r="K153"/>
    </row>
    <row r="154" spans="1:11" ht="16.8" x14ac:dyDescent="0.4">
      <c r="K154"/>
    </row>
  </sheetData>
  <mergeCells count="2">
    <mergeCell ref="K2:Q2"/>
    <mergeCell ref="K3:Q3"/>
  </mergeCells>
  <conditionalFormatting sqref="B2:B148">
    <cfRule type="duplicateValues" dxfId="1" priority="1"/>
    <cfRule type="duplicateValues" dxfId="0" priority="2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929" r:id="rId3" name="Check Box 1">
              <controlPr defaultSize="0" autoFill="0" autoLine="0" autoPict="0" altText="">
                <anchor moveWithCells="1">
                  <from>
                    <xdr:col>13</xdr:col>
                    <xdr:colOff>365760</xdr:colOff>
                    <xdr:row>2</xdr:row>
                    <xdr:rowOff>160020</xdr:rowOff>
                  </from>
                  <to>
                    <xdr:col>13</xdr:col>
                    <xdr:colOff>647700</xdr:colOff>
                    <xdr:row>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Home</vt:lpstr>
      <vt:lpstr>MTK Dasar</vt:lpstr>
      <vt:lpstr>SUM</vt:lpstr>
      <vt:lpstr>SUM 1</vt:lpstr>
      <vt:lpstr>SUMIF</vt:lpstr>
      <vt:lpstr>SUMIF 1</vt:lpstr>
      <vt:lpstr>SUMIFS</vt:lpstr>
      <vt:lpstr>SUMIFS 2</vt:lpstr>
      <vt:lpstr>AVERAGE</vt:lpstr>
      <vt:lpstr>AVERAGE 2</vt:lpstr>
      <vt:lpstr>AVERAGEIF</vt:lpstr>
      <vt:lpstr>AVERAGEIF 2</vt:lpstr>
      <vt:lpstr>AVERAGEIFS</vt:lpstr>
      <vt:lpstr>AVERAGEIFS 2</vt:lpstr>
      <vt:lpstr>MAX</vt:lpstr>
      <vt:lpstr>MIN</vt:lpstr>
      <vt:lpstr>LARGE</vt:lpstr>
      <vt:lpstr>SMALL</vt:lpstr>
      <vt:lpstr>IF</vt:lpstr>
      <vt:lpstr>IFS</vt:lpstr>
      <vt:lpstr>IF(AND)</vt:lpstr>
      <vt:lpstr>IF(OR)</vt:lpstr>
      <vt:lpstr>COUNT</vt:lpstr>
      <vt:lpstr>COUNTA</vt:lpstr>
      <vt:lpstr>COUNTBLANK</vt:lpstr>
      <vt:lpstr>COUNTIF</vt:lpstr>
      <vt:lpstr>COUNTIFS</vt:lpstr>
      <vt:lpstr>PROPER</vt:lpstr>
      <vt:lpstr>UPPER</vt:lpstr>
      <vt:lpstr>LOWER</vt:lpstr>
      <vt:lpstr>3</vt:lpstr>
      <vt:lpstr>LEFT</vt:lpstr>
      <vt:lpstr>MID</vt:lpstr>
      <vt:lpstr>RIGHT</vt:lpstr>
      <vt:lpstr>LEN</vt:lpstr>
      <vt:lpstr>4</vt:lpstr>
      <vt:lpstr>TEXTJOIN</vt:lpstr>
      <vt:lpstr>TRIM</vt:lpstr>
      <vt:lpstr>VLOOKUP</vt:lpstr>
      <vt:lpstr>VLOOKUP 2</vt:lpstr>
      <vt:lpstr>VLOOKUP 3</vt:lpstr>
      <vt:lpstr>HLOOKUP</vt:lpstr>
      <vt:lpstr>HLOOKUP 2</vt:lpstr>
      <vt:lpstr>HLOOKUP 3</vt:lpstr>
      <vt:lpstr>PIVOT TABLE</vt:lpstr>
      <vt:lpstr>PIVOT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MTI Canduang</cp:lastModifiedBy>
  <dcterms:created xsi:type="dcterms:W3CDTF">2021-06-24T14:50:53Z</dcterms:created>
  <dcterms:modified xsi:type="dcterms:W3CDTF">2025-11-24T08:32:28Z</dcterms:modified>
</cp:coreProperties>
</file>