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min Folder\Praktek Komouter\Bahan Praktek\48 Rumus Excell\03- Fungsi Tanggal dan Waktu\"/>
    </mc:Choice>
  </mc:AlternateContent>
  <xr:revisionPtr revIDLastSave="0" documentId="13_ncr:1_{BF00603F-8736-49FE-A773-5B05EE3279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UMUS" sheetId="10" r:id="rId1"/>
    <sheet name="NOW" sheetId="26" r:id="rId2"/>
    <sheet name="TODAY" sheetId="27" r:id="rId3"/>
    <sheet name="DATEDIF" sheetId="2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0" l="1"/>
  <c r="D18" i="10"/>
  <c r="D19" i="10"/>
  <c r="D20" i="10"/>
  <c r="D7" i="10"/>
  <c r="D8" i="10"/>
  <c r="D9" i="10"/>
  <c r="D10" i="10"/>
  <c r="D11" i="10"/>
  <c r="D12" i="10"/>
  <c r="D14" i="10"/>
  <c r="D15" i="10"/>
</calcChain>
</file>

<file path=xl/sharedStrings.xml><?xml version="1.0" encoding="utf-8"?>
<sst xmlns="http://schemas.openxmlformats.org/spreadsheetml/2006/main" count="56" uniqueCount="48">
  <si>
    <t>Rumus / Fungsi Tanggal dan Waktu</t>
  </si>
  <si>
    <t>NOW</t>
  </si>
  <si>
    <t xml:space="preserve"> Mengembalikan tanggal dan waktu saat ini.</t>
  </si>
  <si>
    <t>TODAY</t>
  </si>
  <si>
    <t xml:space="preserve"> Mengembalikan tanggal hari ini.</t>
  </si>
  <si>
    <t>DATEDIF</t>
  </si>
  <si>
    <t xml:space="preserve"> Menghitung selisih antara dua tanggal dalam berbagai satuan waktu.</t>
  </si>
  <si>
    <t>&lt;&lt; BACK</t>
  </si>
  <si>
    <t xml:space="preserve">Rumus : </t>
  </si>
  <si>
    <t>Hasil :</t>
  </si>
  <si>
    <t>=NOW()</t>
  </si>
  <si>
    <t>=TODAY()</t>
  </si>
  <si>
    <t>=DATEDIF(tanggal_awal, tanggal_akhir, "D")</t>
  </si>
  <si>
    <t>Tgl Awal :</t>
  </si>
  <si>
    <t>Tgl Akhir :</t>
  </si>
  <si>
    <t>003</t>
  </si>
  <si>
    <t>Fungsi</t>
  </si>
  <si>
    <t>Keterangan</t>
  </si>
  <si>
    <t>Contoh</t>
  </si>
  <si>
    <t>YEAR(serial_tanggal)</t>
  </si>
  <si>
    <r>
      <t xml:space="preserve">Mengambil </t>
    </r>
    <r>
      <rPr>
        <b/>
        <sz val="11"/>
        <color theme="1"/>
        <rFont val="Calibri"/>
        <family val="2"/>
        <scheme val="minor"/>
      </rPr>
      <t>tahun</t>
    </r>
    <r>
      <rPr>
        <sz val="11"/>
        <color theme="1"/>
        <rFont val="Calibri"/>
        <family val="2"/>
        <scheme val="minor"/>
      </rPr>
      <t xml:space="preserve"> dari tanggal.</t>
    </r>
  </si>
  <si>
    <t>MONTH(serial_tanggal)</t>
  </si>
  <si>
    <r>
      <t xml:space="preserve">Mengambil </t>
    </r>
    <r>
      <rPr>
        <b/>
        <sz val="11"/>
        <color theme="1"/>
        <rFont val="Calibri"/>
        <family val="2"/>
        <scheme val="minor"/>
      </rPr>
      <t>bulan (1–12)</t>
    </r>
    <r>
      <rPr>
        <sz val="11"/>
        <color theme="1"/>
        <rFont val="Calibri"/>
        <family val="2"/>
        <scheme val="minor"/>
      </rPr>
      <t>.</t>
    </r>
  </si>
  <si>
    <t>DAY(serial_tanggal)</t>
  </si>
  <si>
    <r>
      <t xml:space="preserve">Mengambil </t>
    </r>
    <r>
      <rPr>
        <b/>
        <sz val="11"/>
        <color theme="1"/>
        <rFont val="Calibri"/>
        <family val="2"/>
        <scheme val="minor"/>
      </rPr>
      <t>hari dalam bulan (1–31)</t>
    </r>
    <r>
      <rPr>
        <sz val="11"/>
        <color theme="1"/>
        <rFont val="Calibri"/>
        <family val="2"/>
        <scheme val="minor"/>
      </rPr>
      <t>.</t>
    </r>
  </si>
  <si>
    <t>HOUR(serial_waktu)</t>
  </si>
  <si>
    <r>
      <t xml:space="preserve">Mengambil </t>
    </r>
    <r>
      <rPr>
        <b/>
        <sz val="11"/>
        <color theme="1"/>
        <rFont val="Calibri"/>
        <family val="2"/>
        <scheme val="minor"/>
      </rPr>
      <t>jam (0–23)</t>
    </r>
    <r>
      <rPr>
        <sz val="11"/>
        <color theme="1"/>
        <rFont val="Calibri"/>
        <family val="2"/>
        <scheme val="minor"/>
      </rPr>
      <t>.</t>
    </r>
  </si>
  <si>
    <t>MINUTE(serial_waktu)</t>
  </si>
  <si>
    <r>
      <t xml:space="preserve">Mengambil </t>
    </r>
    <r>
      <rPr>
        <b/>
        <sz val="11"/>
        <color theme="1"/>
        <rFont val="Calibri"/>
        <family val="2"/>
        <scheme val="minor"/>
      </rPr>
      <t>menit (0–59)</t>
    </r>
    <r>
      <rPr>
        <sz val="11"/>
        <color theme="1"/>
        <rFont val="Calibri"/>
        <family val="2"/>
        <scheme val="minor"/>
      </rPr>
      <t>.</t>
    </r>
  </si>
  <si>
    <t>SECOND(serial_waktu)</t>
  </si>
  <si>
    <r>
      <t xml:space="preserve">Mengambil </t>
    </r>
    <r>
      <rPr>
        <b/>
        <sz val="11"/>
        <color theme="1"/>
        <rFont val="Calibri"/>
        <family val="2"/>
        <scheme val="minor"/>
      </rPr>
      <t>detik (0–59)</t>
    </r>
    <r>
      <rPr>
        <sz val="11"/>
        <color theme="1"/>
        <rFont val="Calibri"/>
        <family val="2"/>
        <scheme val="minor"/>
      </rPr>
      <t>.</t>
    </r>
  </si>
  <si>
    <t>WEEKDAY(serial_tanggal,[tipe])</t>
  </si>
  <si>
    <r>
      <t xml:space="preserve">Menentukan </t>
    </r>
    <r>
      <rPr>
        <b/>
        <sz val="11"/>
        <color theme="1"/>
        <rFont val="Calibri"/>
        <family val="2"/>
        <scheme val="minor"/>
      </rPr>
      <t>hari keberapa dalam minggu</t>
    </r>
    <r>
      <rPr>
        <sz val="11"/>
        <color theme="1"/>
        <rFont val="Calibri"/>
        <family val="2"/>
        <scheme val="minor"/>
      </rPr>
      <t>.</t>
    </r>
  </si>
  <si>
    <r>
      <t>=WEEKDAY(A1,2)</t>
    </r>
    <r>
      <rPr>
        <sz val="11"/>
        <color theme="1"/>
        <rFont val="Calibri"/>
        <family val="2"/>
        <scheme val="minor"/>
      </rPr>
      <t xml:space="preserve"> → 1=Senin</t>
    </r>
  </si>
  <si>
    <t>WEEKNUM(serial_tanggal,[return_type])</t>
  </si>
  <si>
    <r>
      <t xml:space="preserve">Menentukan </t>
    </r>
    <r>
      <rPr>
        <b/>
        <sz val="11"/>
        <color theme="1"/>
        <rFont val="Calibri"/>
        <family val="2"/>
        <scheme val="minor"/>
      </rPr>
      <t>minggu keberapa dalam tahun</t>
    </r>
    <r>
      <rPr>
        <sz val="11"/>
        <color theme="1"/>
        <rFont val="Calibri"/>
        <family val="2"/>
        <scheme val="minor"/>
      </rPr>
      <t>.</t>
    </r>
  </si>
  <si>
    <t>ISOWEEKNUM(serial_tanggal)</t>
  </si>
  <si>
    <r>
      <t xml:space="preserve">Versi </t>
    </r>
    <r>
      <rPr>
        <b/>
        <sz val="11"/>
        <color theme="1"/>
        <rFont val="Calibri"/>
        <family val="2"/>
        <scheme val="minor"/>
      </rPr>
      <t>minggu ISO (Senin=awal minggu)</t>
    </r>
    <r>
      <rPr>
        <sz val="11"/>
        <color theme="1"/>
        <rFont val="Calibri"/>
        <family val="2"/>
        <scheme val="minor"/>
      </rPr>
      <t>.</t>
    </r>
  </si>
  <si>
    <t>Kegunaan</t>
  </si>
  <si>
    <t>DATEVALUE(teks_tanggal)</t>
  </si>
  <si>
    <r>
      <t xml:space="preserve">Mengubah </t>
    </r>
    <r>
      <rPr>
        <b/>
        <sz val="11"/>
        <color theme="1"/>
        <rFont val="Calibri"/>
        <family val="2"/>
        <scheme val="minor"/>
      </rPr>
      <t>teks tanggal → nilai tanggal.</t>
    </r>
  </si>
  <si>
    <t>TIMEVALUE(teks_waktu)</t>
  </si>
  <si>
    <r>
      <t xml:space="preserve">Mengubah </t>
    </r>
    <r>
      <rPr>
        <b/>
        <sz val="11"/>
        <color theme="1"/>
        <rFont val="Calibri"/>
        <family val="2"/>
        <scheme val="minor"/>
      </rPr>
      <t>teks waktu → nilai waktu.</t>
    </r>
  </si>
  <si>
    <t>EOMONTH(tgl_awal, bulan_offset)</t>
  </si>
  <si>
    <r>
      <t xml:space="preserve">Mendapat </t>
    </r>
    <r>
      <rPr>
        <b/>
        <sz val="11"/>
        <color theme="1"/>
        <rFont val="Calibri"/>
        <family val="2"/>
        <scheme val="minor"/>
      </rPr>
      <t>tanggal akhir bulan</t>
    </r>
    <r>
      <rPr>
        <sz val="11"/>
        <color theme="1"/>
        <rFont val="Calibri"/>
        <family val="2"/>
        <scheme val="minor"/>
      </rPr>
      <t xml:space="preserve"> tertentu.</t>
    </r>
  </si>
  <si>
    <t>EDATE(tgl_awal, bulan_offset)</t>
  </si>
  <si>
    <r>
      <t xml:space="preserve">Menggeser tanggal </t>
    </r>
    <r>
      <rPr>
        <b/>
        <sz val="11"/>
        <color theme="1"/>
        <rFont val="Calibri"/>
        <family val="2"/>
        <scheme val="minor"/>
      </rPr>
      <t>sejumlah bulan</t>
    </r>
    <r>
      <rPr>
        <sz val="11"/>
        <color theme="1"/>
        <rFont val="Calibri"/>
        <family val="2"/>
        <scheme val="minor"/>
      </rPr>
      <t>.</t>
    </r>
  </si>
  <si>
    <r>
      <t>TODAY()</t>
    </r>
    <r>
      <rPr>
        <sz val="11"/>
        <color theme="1"/>
        <rFont val="Calibri"/>
        <family val="2"/>
        <scheme val="minor"/>
      </rPr>
      <t xml:space="preserve"> dan </t>
    </r>
    <r>
      <rPr>
        <sz val="10"/>
        <color theme="1"/>
        <rFont val="Arial Unicode MS"/>
      </rPr>
      <t>NOW()</t>
    </r>
    <r>
      <rPr>
        <sz val="11"/>
        <color theme="1"/>
        <rFont val="Calibri"/>
        <family val="2"/>
        <scheme val="minor"/>
      </rPr>
      <t xml:space="preserve"> juga sering dikombinasikan dengan fungsi ini.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</si>
</sst>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4"/>
      <color rgb="FF7030A0"/>
      <name val="Calibri"/>
      <family val="2"/>
      <scheme val="minor"/>
    </font>
    <font>
      <sz val="16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0" xfId="0" applyAlignment="1">
      <alignment horizontal="left" indent="1"/>
    </xf>
    <xf numFmtId="0" fontId="1" fillId="0" borderId="1" xfId="1" applyBorder="1" applyAlignment="1">
      <alignment horizontal="left" indent="1"/>
    </xf>
    <xf numFmtId="0" fontId="4" fillId="0" borderId="0" xfId="0" applyFont="1"/>
    <xf numFmtId="0" fontId="3" fillId="0" borderId="0" xfId="1" applyFont="1" applyAlignment="1">
      <alignment horizontal="center" vertical="center"/>
    </xf>
    <xf numFmtId="0" fontId="6" fillId="0" borderId="0" xfId="0" quotePrefix="1" applyFont="1"/>
    <xf numFmtId="14" fontId="4" fillId="0" borderId="0" xfId="0" applyNumberFormat="1" applyFont="1"/>
    <xf numFmtId="0" fontId="7" fillId="0" borderId="0" xfId="0" quotePrefix="1" applyFont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22" fontId="5" fillId="2" borderId="2" xfId="0" applyNumberFormat="1" applyFont="1" applyFill="1" applyBorder="1" applyAlignment="1">
      <alignment horizontal="center"/>
    </xf>
    <xf numFmtId="0" fontId="2" fillId="2" borderId="1" xfId="0" applyFont="1" applyFill="1" applyBorder="1" applyAlignment="1"/>
    <xf numFmtId="0" fontId="2" fillId="2" borderId="1" xfId="0" quotePrefix="1" applyFont="1" applyFill="1" applyBorder="1" applyAlignment="1"/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9"/>
  <sheetViews>
    <sheetView tabSelected="1" topLeftCell="A12" zoomScale="160" zoomScaleNormal="160" workbookViewId="0">
      <selection activeCell="C26" sqref="C26"/>
    </sheetView>
  </sheetViews>
  <sheetFormatPr defaultRowHeight="18"/>
  <cols>
    <col min="1" max="1" width="4.88671875" customWidth="1"/>
    <col min="2" max="2" width="35.44140625" style="2" bestFit="1" customWidth="1"/>
    <col min="3" max="3" width="104" bestFit="1" customWidth="1"/>
  </cols>
  <sheetData>
    <row r="1" spans="2:4" ht="21">
      <c r="B1" s="13" t="s">
        <v>15</v>
      </c>
      <c r="C1" s="12" t="s">
        <v>0</v>
      </c>
    </row>
    <row r="2" spans="2:4" ht="15" customHeight="1">
      <c r="B2" s="3" t="s">
        <v>1</v>
      </c>
      <c r="C2" s="1" t="s">
        <v>2</v>
      </c>
    </row>
    <row r="3" spans="2:4" ht="15" customHeight="1">
      <c r="B3" s="3" t="s">
        <v>3</v>
      </c>
      <c r="C3" s="1" t="s">
        <v>4</v>
      </c>
    </row>
    <row r="4" spans="2:4" ht="15" customHeight="1">
      <c r="B4" s="3" t="s">
        <v>5</v>
      </c>
      <c r="C4" s="1" t="s">
        <v>6</v>
      </c>
    </row>
    <row r="5" spans="2:4" ht="14.4"/>
    <row r="6" spans="2:4" ht="14.4">
      <c r="B6" s="17" t="s">
        <v>16</v>
      </c>
      <c r="C6" s="17" t="s">
        <v>17</v>
      </c>
      <c r="D6" s="17" t="s">
        <v>18</v>
      </c>
    </row>
    <row r="7" spans="2:4" ht="14.4">
      <c r="B7" s="18" t="s">
        <v>19</v>
      </c>
      <c r="C7" s="19" t="s">
        <v>20</v>
      </c>
      <c r="D7" s="18">
        <f>YEAR(A1)</f>
        <v>1900</v>
      </c>
    </row>
    <row r="8" spans="2:4" ht="14.4">
      <c r="B8" s="18" t="s">
        <v>21</v>
      </c>
      <c r="C8" s="19" t="s">
        <v>22</v>
      </c>
      <c r="D8" s="18">
        <f>MONTH(A1)</f>
        <v>1</v>
      </c>
    </row>
    <row r="9" spans="2:4" ht="14.4">
      <c r="B9" s="18" t="s">
        <v>23</v>
      </c>
      <c r="C9" s="19" t="s">
        <v>24</v>
      </c>
      <c r="D9" s="18">
        <f>DAY(A1)</f>
        <v>0</v>
      </c>
    </row>
    <row r="10" spans="2:4" ht="14.4">
      <c r="B10" s="18" t="s">
        <v>25</v>
      </c>
      <c r="C10" s="19" t="s">
        <v>26</v>
      </c>
      <c r="D10" s="18">
        <f>HOUR(A1)</f>
        <v>0</v>
      </c>
    </row>
    <row r="11" spans="2:4" ht="14.4">
      <c r="B11" s="18" t="s">
        <v>27</v>
      </c>
      <c r="C11" s="19" t="s">
        <v>28</v>
      </c>
      <c r="D11" s="18">
        <f>MINUTE(A1)</f>
        <v>0</v>
      </c>
    </row>
    <row r="12" spans="2:4" ht="14.4">
      <c r="B12" s="18" t="s">
        <v>29</v>
      </c>
      <c r="C12" s="19" t="s">
        <v>30</v>
      </c>
      <c r="D12" s="18">
        <f>SECOND(A1)</f>
        <v>0</v>
      </c>
    </row>
    <row r="13" spans="2:4" ht="14.4">
      <c r="B13" s="18" t="s">
        <v>31</v>
      </c>
      <c r="C13" s="19" t="s">
        <v>32</v>
      </c>
      <c r="D13" s="18" t="s">
        <v>33</v>
      </c>
    </row>
    <row r="14" spans="2:4" ht="14.4">
      <c r="B14" s="18" t="s">
        <v>34</v>
      </c>
      <c r="C14" s="19" t="s">
        <v>35</v>
      </c>
      <c r="D14" s="18">
        <f>WEEKNUM(A1)</f>
        <v>0</v>
      </c>
    </row>
    <row r="15" spans="2:4" ht="14.4">
      <c r="B15" s="18" t="s">
        <v>36</v>
      </c>
      <c r="C15" s="19" t="s">
        <v>37</v>
      </c>
      <c r="D15" s="18">
        <f>_xlfn.ISOWEEKNUM(A1)</f>
        <v>52</v>
      </c>
    </row>
    <row r="16" spans="2:4" ht="14.4">
      <c r="B16" s="15" t="s">
        <v>16</v>
      </c>
      <c r="C16" s="15" t="s">
        <v>38</v>
      </c>
      <c r="D16" s="15" t="s">
        <v>18</v>
      </c>
    </row>
    <row r="17" spans="2:4" ht="14.4">
      <c r="B17" s="16" t="s">
        <v>39</v>
      </c>
      <c r="C17" s="14" t="s">
        <v>40</v>
      </c>
      <c r="D17" s="16">
        <f>DATEVALUE("10/11/2025")</f>
        <v>45941</v>
      </c>
    </row>
    <row r="18" spans="2:4" ht="14.4">
      <c r="B18" s="16" t="s">
        <v>41</v>
      </c>
      <c r="C18" s="14" t="s">
        <v>42</v>
      </c>
      <c r="D18" s="16">
        <f>TIMEVALUE("14:00")</f>
        <v>0.58333333333333337</v>
      </c>
    </row>
    <row r="19" spans="2:4" ht="14.4">
      <c r="B19" s="16" t="s">
        <v>43</v>
      </c>
      <c r="C19" s="14" t="s">
        <v>44</v>
      </c>
      <c r="D19" s="16">
        <f>EOMONTH(A1,1)</f>
        <v>59</v>
      </c>
    </row>
    <row r="20" spans="2:4" ht="14.4">
      <c r="B20" s="16" t="s">
        <v>45</v>
      </c>
      <c r="C20" s="14" t="s">
        <v>46</v>
      </c>
      <c r="D20" s="16">
        <f>EDATE(A1,3)</f>
        <v>91</v>
      </c>
    </row>
    <row r="21" spans="2:4" ht="28.8">
      <c r="B21" s="16" t="s">
        <v>47</v>
      </c>
      <c r="C21" s="14"/>
      <c r="D21" s="14"/>
    </row>
    <row r="22" spans="2:4" ht="14.4"/>
    <row r="23" spans="2:4" ht="14.4"/>
    <row r="24" spans="2:4" ht="14.4"/>
    <row r="25" spans="2:4" ht="14.4"/>
    <row r="26" spans="2:4" ht="14.4"/>
    <row r="27" spans="2:4" ht="14.4"/>
    <row r="28" spans="2:4" ht="14.4"/>
    <row r="29" spans="2:4" ht="14.4"/>
    <row r="30" spans="2:4" ht="14.4"/>
    <row r="31" spans="2:4" ht="14.4"/>
    <row r="32" spans="2:4" ht="14.4"/>
    <row r="33" ht="14.4"/>
    <row r="34" ht="14.4"/>
    <row r="35" ht="14.4"/>
    <row r="36" ht="14.4"/>
    <row r="37" ht="14.4"/>
    <row r="38" ht="14.4"/>
    <row r="39" ht="14.4"/>
    <row r="40" ht="14.4"/>
    <row r="41" ht="14.4"/>
    <row r="42" ht="14.4"/>
    <row r="43" ht="14.4"/>
    <row r="44" ht="14.4"/>
    <row r="45" ht="14.4"/>
    <row r="46" ht="14.4"/>
    <row r="47" ht="14.4"/>
    <row r="48" ht="14.4"/>
    <row r="49" ht="14.4"/>
  </sheetData>
  <hyperlinks>
    <hyperlink ref="B4" location="DATEDIF!A1" display="DATEDIF" xr:uid="{00000000-0004-0000-0000-000022000000}"/>
    <hyperlink ref="B3" location="TODAY!A1" display="TODAY" xr:uid="{00000000-0004-0000-0000-000023000000}"/>
    <hyperlink ref="B2" location="NOW!A1" display="NOW" xr:uid="{00000000-0004-0000-0000-000024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"/>
  <sheetViews>
    <sheetView zoomScale="280" zoomScaleNormal="280" workbookViewId="0"/>
  </sheetViews>
  <sheetFormatPr defaultColWidth="9.109375" defaultRowHeight="25.8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>
      <c r="A1" s="5" t="s">
        <v>7</v>
      </c>
      <c r="B1" s="5"/>
      <c r="C1" s="4" t="s">
        <v>8</v>
      </c>
      <c r="D1" s="6" t="s">
        <v>10</v>
      </c>
    </row>
    <row r="3" spans="1:4" ht="26.4" thickBot="1">
      <c r="C3" s="4" t="s">
        <v>9</v>
      </c>
    </row>
    <row r="4" spans="1:4" ht="26.4" thickBot="1">
      <c r="C4" s="11"/>
      <c r="D4" s="10"/>
    </row>
  </sheetData>
  <mergeCells count="1">
    <mergeCell ref="C4:D4"/>
  </mergeCells>
  <hyperlinks>
    <hyperlink ref="A1" location="RUMUS!A1" display="BACK" xr:uid="{00000000-0004-0000-13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"/>
  <sheetViews>
    <sheetView zoomScale="280" zoomScaleNormal="280" workbookViewId="0"/>
  </sheetViews>
  <sheetFormatPr defaultColWidth="9.109375" defaultRowHeight="25.8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>
      <c r="A1" s="5" t="s">
        <v>7</v>
      </c>
      <c r="B1" s="5"/>
      <c r="C1" s="4" t="s">
        <v>8</v>
      </c>
      <c r="D1" s="8" t="s">
        <v>11</v>
      </c>
    </row>
    <row r="3" spans="1:4" ht="26.4" thickBot="1">
      <c r="C3" s="4" t="s">
        <v>9</v>
      </c>
    </row>
    <row r="4" spans="1:4" ht="26.4" thickBot="1">
      <c r="C4" s="11"/>
      <c r="D4" s="10"/>
    </row>
  </sheetData>
  <mergeCells count="1">
    <mergeCell ref="C4:D4"/>
  </mergeCells>
  <hyperlinks>
    <hyperlink ref="A1" location="RUMUS!A1" display="BACK" xr:uid="{00000000-0004-0000-14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6"/>
  <sheetViews>
    <sheetView topLeftCell="A2" zoomScale="280" zoomScaleNormal="280" workbookViewId="0">
      <selection activeCell="A6" sqref="A6"/>
    </sheetView>
  </sheetViews>
  <sheetFormatPr defaultColWidth="9.109375" defaultRowHeight="25.8"/>
  <cols>
    <col min="1" max="1" width="9.109375" style="4"/>
    <col min="2" max="2" width="4.6640625" style="4" customWidth="1"/>
    <col min="3" max="3" width="16.5546875" style="4" customWidth="1"/>
    <col min="4" max="4" width="28" style="4" customWidth="1"/>
    <col min="5" max="16384" width="9.109375" style="4"/>
  </cols>
  <sheetData>
    <row r="1" spans="1:4">
      <c r="A1" s="5" t="s">
        <v>7</v>
      </c>
      <c r="B1" s="5"/>
      <c r="C1" s="4" t="s">
        <v>8</v>
      </c>
      <c r="D1" s="6" t="s">
        <v>12</v>
      </c>
    </row>
    <row r="3" spans="1:4">
      <c r="C3" s="4" t="s">
        <v>13</v>
      </c>
      <c r="D3" s="7">
        <v>45028</v>
      </c>
    </row>
    <row r="4" spans="1:4">
      <c r="C4" s="4" t="s">
        <v>14</v>
      </c>
      <c r="D4" s="7">
        <v>45104</v>
      </c>
    </row>
    <row r="5" spans="1:4" ht="26.4" thickBot="1">
      <c r="C5" s="4" t="s">
        <v>9</v>
      </c>
    </row>
    <row r="6" spans="1:4" ht="26.4" thickBot="1">
      <c r="C6" s="9"/>
      <c r="D6" s="10"/>
    </row>
  </sheetData>
  <mergeCells count="1">
    <mergeCell ref="C6:D6"/>
  </mergeCells>
  <hyperlinks>
    <hyperlink ref="A1" location="RUMUS!A1" display="BACK" xr:uid="{00000000-0004-0000-1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RUMUS</vt:lpstr>
      <vt:lpstr>NOW</vt:lpstr>
      <vt:lpstr>TODAY</vt:lpstr>
      <vt:lpstr>DATEDIF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MTI Canduang</cp:lastModifiedBy>
  <cp:revision/>
  <dcterms:created xsi:type="dcterms:W3CDTF">2023-06-13T04:16:19Z</dcterms:created>
  <dcterms:modified xsi:type="dcterms:W3CDTF">2025-11-10T09:03:18Z</dcterms:modified>
  <cp:category/>
  <cp:contentStatus/>
</cp:coreProperties>
</file>